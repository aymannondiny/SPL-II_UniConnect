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0ecbbd87294c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Info" sheetId="1" r:id="Rb41f6d50ed254479"/>
    <x:sheet xmlns:r="http://schemas.openxmlformats.org/officeDocument/2006/relationships" name="FR, User Stories" sheetId="2" r:id="R91cb37e2a07d44c3"/>
    <x:sheet xmlns:r="http://schemas.openxmlformats.org/officeDocument/2006/relationships" name="Consistency Audit" sheetId="3" r:id="Rabf5d226aa5f43cf"/>
    <x:sheet xmlns:r="http://schemas.openxmlformats.org/officeDocument/2006/relationships" name="Confirmed Rules" sheetId="4" r:id="R30e9a608601c4308"/>
    <x:sheet xmlns:r="http://schemas.openxmlformats.org/officeDocument/2006/relationships" name="Audit Summary" sheetId="5" r:id="R1687628f3e59444c"/>
    <x:sheet xmlns:r="http://schemas.openxmlformats.org/officeDocument/2006/relationships" name="Implementation Scope" sheetId="6" r:id="R22f4adb1770d405b"/>
  </x:sheets>
</x:workbook>
</file>

<file path=xl/comments1.xml><?xml version="1.0" encoding="utf-8"?>
<x:comments xmlns:x="http://schemas.openxmlformats.org/spreadsheetml/2006/main">
  <x:authors>
    <x:author>tc={A15F2784-FD9C-5A0F-D619-320FBF57EA3E}</x:author>
    <x:author>tc={0E20441E-87D0-EFFE-0612-0AB55E0E9A46}</x:author>
    <x:author>tc={BE818B46-5196-CD61-3EAE-59B73E94DDE3}</x:author>
  </x:authors>
  <x:commentList>
    <x:comment ref="C7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FR_62 and the project description include Events, but no Event lifecycle requirements or Event class exist in the supplied corrected models.</x:t>
        </x:r>
      </x:text>
    </x:comment>
    <x:comment ref="C7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Permanent user deletion is not represented by canonical AccountStatus and may conflict with immutable audit, messages, memberships, and authorship history.</x:t>
        </x:r>
      </x:text>
    </x:comment>
    <x:comment ref="C7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The requirements use a moderation queue and report status, but no ContentReport/ModerationReport entity or lifecycle exists in the corrected diagrams.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<x:sst xmlns:x="http://schemas.openxmlformats.org/spreadsheetml/2006/main">
  <x:si>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Group ID </x:t>
  </x:si>
  <x:si>
    <x:t xml:space="preserve">Student ID </x:t>
  </x:si>
  <x:si>
    <x:t xml:space="preserve">230042127, 230042139, 230042141, 230042159</x:t>
  </x:si>
  <x:si>
    <x:t xml:space="preserve">Title</x:t>
  </x:si>
  <x:si>
    <x:t xml:space="preserve">UniConnect</x:t>
  </x:si>
  <x:si>
    <x:t xml:space="preserve">Brief Description </x:t>
  </x:si>
  <x:si>
    <x:t xml:space="preserve">UniConnect is a university-exclusive networking and collaboration platform that connects students, alumni, club administrators, and system administrators within a centralized digital ecosystem. The platform supports verified account access, skill-based teammate discovery, peer-to-peer mentorship, real-time messaging, campus events and announcements, professional networking, and alumni-posted job and internship opportunities.</x:t>
  </x:si>
  <x:si>
    <x:t xml:space="preserve">\</x:t>
  </x:si>
  <x:si>
    <x:t xml:space="preserve">FR ID</x:t>
  </x:si>
  <x:si>
    <x:t xml:space="preserve">Functional Requirement</x:t>
  </x:si>
  <x:si>
    <x:t xml:space="preserve">User Story ID</x:t>
  </x:si>
  <x:si>
    <x:t xml:space="preserve">US Title</x:t>
  </x:si>
  <x:si>
    <x:t xml:space="preserve">As a (precise role)</x:t>
  </x:si>
  <x:si>
    <x:t xml:space="preserve">I want (requirement)</x:t>
  </x:si>
  <x:si>
    <x:t xml:space="preserve">So that (completion condition)</x:t>
  </x:si>
  <x:si>
    <x:t xml:space="preserve">User Story</x:t>
  </x:si>
  <x:si>
    <x:t xml:space="preserve">Acceptance Criteria </x:t>
  </x:si>
  <x:si>
    <x:t xml:space="preserve">Priority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</x:si>
</x:sst>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21">
    <x:font>
      <x:sz val="10"/>
      <x:color rgb="FF000000"/>
      <x:name val="Arial"/>
    </x:font>
    <x:font>
      <x:b/>
      <x:sz val="12"/>
      <x:color theme="1"/>
      <x:name val="Arial"/>
    </x:font>
    <x:font>
      <x:sz val="12"/>
      <x:color theme="1"/>
      <x:name val="Arial"/>
    </x:font>
    <x:font>
      <x:sz val="13"/>
      <x:color theme="1"/>
      <x:name val="Arial"/>
    </x:font>
    <x:font>
      <x:b/>
      <x:sz val="13"/>
      <x:color theme="1"/>
      <x:name val="Arial"/>
    </x:font>
    <x:font>
      <x:b/>
      <x:sz val="10"/>
      <x:color theme="1"/>
      <x:name val="Roboto"/>
    </x:font>
    <x:font>
      <x:b/>
      <x:color theme="1"/>
      <x:name val="Arial"/>
    </x:font>
    <x:font>
      <x:sz val="10"/>
      <x:color rgb="FF000000"/>
      <x:name val="Arial"/>
    </x:font>
    <x:font>
      <x:sz val="10"/>
      <x:color rgb="FF434343"/>
      <x:name val="Roboto"/>
    </x:font>
    <x:font>
      <x:sz val="10"/>
      <x:color theme="1"/>
      <x:name val="Roboto"/>
    </x:font>
    <x:font>
      <x:color theme="1"/>
      <x:name val="Arial"/>
    </x:font>
    <x:font>
      <x:sz val="17"/>
      <x:color theme="1"/>
      <x:name val="Arial"/>
    </x:font>
    <x:font>
      <x:sz val="10"/>
      <x:color rgb="FF0F1115"/>
      <x:name val="Roboto"/>
    </x:font>
    <x:font>
      <x:b/>
      <x:sz val="10"/>
      <x:color rgb="FFFFFFFF"/>
      <x:name val="Arial"/>
    </x:font>
    <x:font>
      <x:b/>
      <x:sz val="18"/>
      <x:color rgb="FFFFFFFF"/>
      <x:name val="Arial"/>
    </x:font>
    <x:font>
      <x:b/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9C0006"/>
      <x:name val="Arial"/>
    </x:font>
    <x:font>
      <x:i/>
      <x:sz val="10"/>
      <x:color rgb="FF1F1F1F"/>
      <x:name val="Arial"/>
    </x:font>
    <x:font>
      <x:b/>
      <x:sz val="10"/>
      <x:color rgb="FF7F4125"/>
      <x:name val="Arial"/>
    </x:font>
    <x:font>
      <x:b/>
      <x:sz val="10"/>
      <x:color rgb="FF9C5700"/>
      <x:name val="Arial"/>
    </x:font>
  </x:fonts>
  <x:fills count="18">
    <x:fill>
      <x:patternFill patternType="none"/>
    </x:fill>
    <x:fill>
      <x:patternFill patternType="lightGray"/>
    </x:fill>
    <x:fill>
      <x:patternFill patternType="solid">
        <x:fgColor theme="0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F4CCCC"/>
      </x:patternFill>
    </x:fill>
    <x:fill>
      <x:patternFill patternType="solid">
        <x:fgColor rgb="FFFCE8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4B183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4">
    <x:border/>
    <x:border>
      <x:bottom style="thin">
        <x:color rgb="FF000000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E6B8B7"/>
      </x:left>
      <x:right style="thin">
        <x:color rgb="FFE6B8B7"/>
      </x:right>
      <x:top style="thin">
        <x:color rgb="FFE6B8B7"/>
      </x:top>
      <x:bottom style="thin">
        <x:color rgb="FFE6B8B7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</x:borders>
  <x:cellStyleXfs count="1">
    <x:xf numFmtId="0" fontId="0" fillId="0" borderId="0" applyFont="1" applyAlignment="1"/>
  </x:cellStyleXfs>
  <x:cellXfs count="13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2" fillId="0" borderId="0" xfId="0" applyFont="1" applyAlignment="1">
      <x:alignment horizontal="center" vertical="center" wrapText="1"/>
    </x:xf>
    <x:xf numFmtId="0" fontId="4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3" fillId="0" borderId="0" xfId="0" applyFont="1" applyAlignment="1">
      <x:alignment horizontal="left" vertical="center"/>
    </x:xf>
    <x:xf numFmtId="0" fontId="5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7" fillId="0" borderId="0" xfId="0" applyFont="1" applyAlignment="1">
      <x:alignment horizontal="center" vertical="top" wrapText="1"/>
    </x:xf>
    <x:xf numFmtId="0" fontId="8" fillId="2" borderId="0" xfId="0" applyFont="1" applyFill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9" fillId="2" borderId="0" xfId="0" applyFont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10" fillId="0" borderId="0" xfId="0" applyFont="1" applyAlignment="1">
      <x:alignment vertical="center" wrapText="1"/>
    </x:xf>
    <x:xf numFmtId="0" fontId="11" fillId="0" borderId="0" xfId="0" applyFont="1" applyAlignment="1">
      <x:alignment horizontal="center" vertical="center" wrapText="1"/>
    </x:xf>
    <x:xf numFmtId="0" fontId="9" fillId="0" borderId="0" xfId="0" applyFont="1" applyAlignment="1">
      <x:alignment vertical="center" wrapText="1"/>
    </x:xf>
    <x:xf numFmtId="0" fontId="12" fillId="2" borderId="0" xfId="0" applyFont="1" applyAlignment="1">
      <x:alignment vertical="center" wrapText="1"/>
    </x:xf>
    <x:xf numFmtId="0" fontId="9" fillId="0" borderId="0" xfId="0" applyFont="1" applyAlignment="1">
      <x:alignment horizontal="center" vertical="center" wrapText="1"/>
    </x:xf>
    <x:xf numFmtId="0" fontId="12" fillId="2" borderId="1" xfId="0" applyFont="1" applyBorder="1" applyAlignment="1">
      <x:alignment vertical="center" wrapText="1"/>
    </x:xf>
    <x:xf numFmtId="0" fontId="7" fillId="2" borderId="0" xfId="0" applyFont="1" applyAlignment="1">
      <x:alignment horizontal="center" vertical="top" wrapText="1"/>
    </x:xf>
    <x:xf numFmtId="0" fontId="8" fillId="2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2" borderId="0" xfId="0" applyFont="1" applyAlignment="1">
      <x:alignment vertical="center" wrapText="1"/>
    </x:xf>
    <x:xf numFmtId="0" fontId="0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1"/>
    </x:xf>
    <x:xf numFmtId="0" fontId="1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center" wrapText="0"/>
    </x:xf>
    <x:xf numFmtId="0" fontId="14" fillId="3" borderId="0" xfId="0" applyNumberFormat="1" applyFont="1" applyFill="1" applyBorder="1" applyAlignment="1">
      <x:alignment vertical="bottom" wrapText="0"/>
    </x:xf>
    <x:xf numFmtId="0" fontId="14" fillId="3" borderId="0" xfId="0" applyNumberFormat="1" applyFont="1" applyFill="1" applyBorder="1" applyAlignment="1">
      <x:alignment horizontal="center" vertical="bottom" wrapText="0"/>
    </x:xf>
    <x:xf numFmtId="0" fontId="14" fillId="3" borderId="0" xfId="0" applyNumberFormat="1" applyFont="1" applyFill="1" applyBorder="1" applyAlignment="1">
      <x:alignment horizontal="center" vertical="center" wrapText="0"/>
    </x:xf>
    <x:xf numFmtId="0" fontId="0" fillId="0" borderId="2" xfId="0" applyNumberFormat="1" applyFont="1" applyFill="1" applyBorder="1" applyAlignment="1">
      <x:alignment vertical="bottom" wrapText="0"/>
    </x:xf>
    <x:xf numFmtId="0" fontId="0" fillId="4" borderId="2" xfId="0" applyNumberFormat="1" applyFont="1" applyFill="1" applyBorder="1" applyAlignment="1">
      <x:alignment vertical="bottom" wrapText="0"/>
    </x:xf>
    <x:xf numFmtId="0" fontId="13" fillId="4" borderId="2" xfId="0" applyNumberFormat="1" applyFont="1" applyFill="1" applyBorder="1" applyAlignment="1">
      <x:alignment vertical="bottom" wrapText="0"/>
    </x:xf>
    <x:xf numFmtId="0" fontId="0" fillId="5" borderId="2" xfId="0" applyNumberFormat="1" applyFont="1" applyFill="1" applyBorder="1" applyAlignment="1">
      <x:alignment vertical="bottom" wrapText="0"/>
    </x:xf>
    <x:xf numFmtId="0" fontId="15" fillId="5" borderId="2" xfId="0" applyNumberFormat="1" applyFont="1" applyFill="1" applyBorder="1" applyAlignment="1">
      <x:alignment vertical="bottom" wrapText="0"/>
    </x:xf>
    <x:xf numFmtId="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horizontal="center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horizontal="center" vertical="bottom" wrapText="0"/>
    </x:xf>
    <x:xf numFmtId="0" fontId="0" fillId="6" borderId="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0"/>
    </x:xf>
    <x:xf numFmtId="0" fontId="0" fillId="6" borderId="4" xfId="0" applyNumberFormat="1" applyFont="1" applyFill="1" applyBorder="1" applyAlignment="1">
      <x:alignment vertical="bottom" wrapText="0"/>
    </x:xf>
    <x:xf numFmtId="0" fontId="0" fillId="6" borderId="5" xfId="0" applyNumberFormat="1" applyFont="1" applyFill="1" applyBorder="1" applyAlignment="1">
      <x:alignment vertical="bottom" wrapText="0"/>
    </x:xf>
    <x:xf numFmtId="0" fontId="0" fillId="6" borderId="6" xfId="0" applyNumberFormat="1" applyFont="1" applyFill="1" applyBorder="1" applyAlignment="1">
      <x:alignment vertical="bottom" wrapText="0"/>
    </x:xf>
    <x:xf numFmtId="0" fontId="0" fillId="6" xfId="0" applyNumberFormat="1" applyFont="1" applyFill="1" applyBorder="0" applyAlignment="1">
      <x:alignment vertical="bottom" wrapText="0"/>
    </x:xf>
    <x:xf numFmtId="0" fontId="0" fillId="6" borderId="7" xfId="0" applyNumberFormat="1" applyFont="1" applyFill="1" applyBorder="1" applyAlignment="1">
      <x:alignment vertical="bottom" wrapText="0"/>
    </x:xf>
    <x:xf numFmtId="0" fontId="0" fillId="6" borderId="8" xfId="0" applyNumberFormat="1" applyFont="1" applyFill="1" applyBorder="1" applyAlignment="1">
      <x:alignment vertical="bottom" wrapText="0"/>
    </x:xf>
    <x:xf numFmtId="0" fontId="0" fillId="6" borderId="9" xfId="0" applyNumberFormat="1" applyFont="1" applyFill="1" applyBorder="1" applyAlignment="1">
      <x:alignment vertical="bottom" wrapText="0"/>
    </x:xf>
    <x:xf numFmtId="0" fontId="0" fillId="6" borderId="1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1"/>
    </x:xf>
    <x:xf numFmtId="0" fontId="0" fillId="6" borderId="4" xfId="0" applyNumberFormat="1" applyFont="1" applyFill="1" applyBorder="1" applyAlignment="1">
      <x:alignment vertical="bottom" wrapText="1"/>
    </x:xf>
    <x:xf numFmtId="0" fontId="0" fillId="6" borderId="5" xfId="0" applyNumberFormat="1" applyFont="1" applyFill="1" applyBorder="1" applyAlignment="1">
      <x:alignment vertical="bottom" wrapText="1"/>
    </x:xf>
    <x:xf numFmtId="0" fontId="0" fillId="6" borderId="6" xfId="0" applyNumberFormat="1" applyFont="1" applyFill="1" applyBorder="1" applyAlignment="1">
      <x:alignment vertical="bottom" wrapText="1"/>
    </x:xf>
    <x:xf numFmtId="0" fontId="0" fillId="6" xfId="0" applyNumberFormat="1" applyFont="1" applyFill="1" applyBorder="0" applyAlignment="1">
      <x:alignment vertical="bottom" wrapText="1"/>
    </x:xf>
    <x:xf numFmtId="0" fontId="0" fillId="6" borderId="7" xfId="0" applyNumberFormat="1" applyFont="1" applyFill="1" applyBorder="1" applyAlignment="1">
      <x:alignment vertical="bottom" wrapText="1"/>
    </x:xf>
    <x:xf numFmtId="0" fontId="0" fillId="6" borderId="8" xfId="0" applyNumberFormat="1" applyFont="1" applyFill="1" applyBorder="1" applyAlignment="1">
      <x:alignment vertical="bottom" wrapText="1"/>
    </x:xf>
    <x:xf numFmtId="0" fontId="0" fillId="6" borderId="9" xfId="0" applyNumberFormat="1" applyFont="1" applyFill="1" applyBorder="1" applyAlignment="1">
      <x:alignment vertical="bottom" wrapText="1"/>
    </x:xf>
    <x:xf numFmtId="0" fontId="0" fillId="6" borderId="10" xfId="0" applyNumberFormat="1" applyFont="1" applyFill="1" applyBorder="1" applyAlignment="1">
      <x:alignment vertical="bottom" wrapText="1"/>
    </x:xf>
    <x:xf numFmtId="0" fontId="0" fillId="6" borderId="3" xfId="0" applyNumberFormat="1" applyFont="1" applyFill="1" applyBorder="1" applyAlignment="1">
      <x:alignment horizontal="left" vertical="bottom" wrapText="1"/>
    </x:xf>
    <x:xf numFmtId="0" fontId="0" fillId="6" borderId="4" xfId="0" applyNumberFormat="1" applyFont="1" applyFill="1" applyBorder="1" applyAlignment="1">
      <x:alignment horizontal="left" vertical="bottom" wrapText="1"/>
    </x:xf>
    <x:xf numFmtId="0" fontId="0" fillId="6" borderId="5" xfId="0" applyNumberFormat="1" applyFont="1" applyFill="1" applyBorder="1" applyAlignment="1">
      <x:alignment horizontal="left" vertical="bottom" wrapText="1"/>
    </x:xf>
    <x:xf numFmtId="0" fontId="0" fillId="6" borderId="6" xfId="0" applyNumberFormat="1" applyFont="1" applyFill="1" applyBorder="1" applyAlignment="1">
      <x:alignment horizontal="left" vertical="bottom" wrapText="1"/>
    </x:xf>
    <x:xf numFmtId="0" fontId="0" fillId="6" xfId="0" applyNumberFormat="1" applyFont="1" applyFill="1" applyBorder="0" applyAlignment="1">
      <x:alignment horizontal="left" vertical="bottom" wrapText="1"/>
    </x:xf>
    <x:xf numFmtId="0" fontId="0" fillId="6" borderId="7" xfId="0" applyNumberFormat="1" applyFont="1" applyFill="1" applyBorder="1" applyAlignment="1">
      <x:alignment horizontal="left" vertical="bottom" wrapText="1"/>
    </x:xf>
    <x:xf numFmtId="0" fontId="0" fillId="6" borderId="8" xfId="0" applyNumberFormat="1" applyFont="1" applyFill="1" applyBorder="1" applyAlignment="1">
      <x:alignment horizontal="left" vertical="bottom" wrapText="1"/>
    </x:xf>
    <x:xf numFmtId="0" fontId="0" fillId="6" borderId="9" xfId="0" applyNumberFormat="1" applyFont="1" applyFill="1" applyBorder="1" applyAlignment="1">
      <x:alignment horizontal="left" vertical="bottom" wrapText="1"/>
    </x:xf>
    <x:xf numFmtId="0" fontId="0" fillId="6" borderId="10" xfId="0" applyNumberFormat="1" applyFont="1" applyFill="1" applyBorder="1" applyAlignment="1">
      <x:alignment horizontal="left" vertical="bottom" wrapText="1"/>
    </x:xf>
    <x:xf numFmtId="0" fontId="0" fillId="6" borderId="3" xfId="0" applyNumberFormat="1" applyFont="1" applyFill="1" applyBorder="1" applyAlignment="1">
      <x:alignment horizontal="left" vertical="center" wrapText="1"/>
    </x:xf>
    <x:xf numFmtId="0" fontId="0" fillId="6" borderId="4" xfId="0" applyNumberFormat="1" applyFont="1" applyFill="1" applyBorder="1" applyAlignment="1">
      <x:alignment horizontal="left" vertical="center" wrapText="1"/>
    </x:xf>
    <x:xf numFmtId="0" fontId="0" fillId="6" borderId="5" xfId="0" applyNumberFormat="1" applyFont="1" applyFill="1" applyBorder="1" applyAlignment="1">
      <x:alignment horizontal="left" vertical="center" wrapText="1"/>
    </x:xf>
    <x:xf numFmtId="0" fontId="0" fillId="6" borderId="6" xfId="0" applyNumberFormat="1" applyFont="1" applyFill="1" applyBorder="1" applyAlignment="1">
      <x:alignment horizontal="left" vertical="center" wrapText="1"/>
    </x:xf>
    <x:xf numFmtId="0" fontId="0" fillId="6" xfId="0" applyNumberFormat="1" applyFont="1" applyFill="1" applyBorder="0" applyAlignment="1">
      <x:alignment horizontal="left" vertical="center" wrapText="1"/>
    </x:xf>
    <x:xf numFmtId="0" fontId="0" fillId="6" borderId="7" xfId="0" applyNumberFormat="1" applyFont="1" applyFill="1" applyBorder="1" applyAlignment="1">
      <x:alignment horizontal="left" vertical="center" wrapText="1"/>
    </x:xf>
    <x:xf numFmtId="0" fontId="0" fillId="6" borderId="8" xfId="0" applyNumberFormat="1" applyFont="1" applyFill="1" applyBorder="1" applyAlignment="1">
      <x:alignment horizontal="left" vertical="center" wrapText="1"/>
    </x:xf>
    <x:xf numFmtId="0" fontId="0" fillId="6" borderId="9" xfId="0" applyNumberFormat="1" applyFont="1" applyFill="1" applyBorder="1" applyAlignment="1">
      <x:alignment horizontal="left" vertical="center" wrapText="1"/>
    </x:xf>
    <x:xf numFmtId="0" fontId="0" fillId="6" borderId="1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horizontal="center" vertical="bottom" wrapText="0"/>
    </x:xf>
    <x:xf numFmtId="0" fontId="0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1"/>
    </x:xf>
    <x:xf numFmtId="0" fontId="17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1"/>
    </x:xf>
    <x:xf numFmtId="0" fontId="0" fillId="9" borderId="0" xfId="0" applyNumberFormat="1" applyFont="1" applyFill="1" applyBorder="1" applyAlignment="1">
      <x:alignment vertical="top" wrapText="1"/>
    </x:xf>
    <x:xf numFmtId="0" fontId="17" fillId="8" borderId="11" xfId="0" applyNumberFormat="1" applyFont="1" applyFill="1" applyBorder="1" applyAlignment="1">
      <x:alignment vertical="top" wrapText="1"/>
    </x:xf>
    <x:xf numFmtId="0" fontId="0" fillId="9" borderId="1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1"/>
    </x:xf>
    <x:xf numFmtId="0" fontId="0" fillId="10" borderId="12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horizontal="center" vertical="bottom" wrapText="0"/>
    </x:xf>
    <x:xf numFmtId="0" fontId="14" fillId="11" borderId="0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1"/>
    </x:xf>
    <x:xf numFmtId="0" fontId="18" fillId="12" borderId="0" xfId="0" applyNumberFormat="1" applyFont="1" applyFill="1" applyBorder="1" applyAlignment="1">
      <x:alignment horizontal="left" vertical="bottom" wrapText="1"/>
    </x:xf>
    <x:xf numFmtId="0" fontId="18" fillId="12" borderId="0" xfId="0" applyNumberFormat="1" applyFont="1" applyFill="1" applyBorder="1" applyAlignment="1">
      <x:alignment horizontal="left" vertical="center" wrapText="1"/>
    </x:xf>
    <x:xf numFmtId="0" fontId="0" fillId="13" borderId="3" xfId="0" applyNumberFormat="1" applyFont="1" applyFill="1" applyBorder="1" applyAlignment="1">
      <x:alignment horizontal="left" vertical="center" wrapText="1"/>
    </x:xf>
    <x:xf numFmtId="0" fontId="0" fillId="13" borderId="4" xfId="0" applyNumberFormat="1" applyFont="1" applyFill="1" applyBorder="1" applyAlignment="1">
      <x:alignment horizontal="left" vertical="center" wrapText="1"/>
    </x:xf>
    <x:xf numFmtId="0" fontId="0" fillId="13" borderId="5" xfId="0" applyNumberFormat="1" applyFont="1" applyFill="1" applyBorder="1" applyAlignment="1">
      <x:alignment horizontal="left" vertical="center" wrapText="1"/>
    </x:xf>
    <x:xf numFmtId="0" fontId="0" fillId="13" borderId="6" xfId="0" applyNumberFormat="1" applyFont="1" applyFill="1" applyBorder="1" applyAlignment="1">
      <x:alignment horizontal="left" vertical="center" wrapText="1"/>
    </x:xf>
    <x:xf numFmtId="0" fontId="0" fillId="13" xfId="0" applyNumberFormat="1" applyFont="1" applyFill="1" applyBorder="0" applyAlignment="1">
      <x:alignment horizontal="left" vertical="center" wrapText="1"/>
    </x:xf>
    <x:xf numFmtId="0" fontId="0" fillId="13" borderId="7" xfId="0" applyNumberFormat="1" applyFont="1" applyFill="1" applyBorder="1" applyAlignment="1">
      <x:alignment horizontal="left" vertical="center" wrapText="1"/>
    </x:xf>
    <x:xf numFmtId="0" fontId="0" fillId="13" borderId="8" xfId="0" applyNumberFormat="1" applyFont="1" applyFill="1" applyBorder="1" applyAlignment="1">
      <x:alignment horizontal="left" vertical="center" wrapText="1"/>
    </x:xf>
    <x:xf numFmtId="0" fontId="0" fillId="13" borderId="9" xfId="0" applyNumberFormat="1" applyFont="1" applyFill="1" applyBorder="1" applyAlignment="1">
      <x:alignment horizontal="left" vertical="center" wrapText="1"/>
    </x:xf>
    <x:xf numFmtId="0" fontId="0" fillId="13" borderId="10" xfId="0" applyNumberFormat="1" applyFont="1" applyFill="1" applyBorder="1" applyAlignment="1">
      <x:alignment horizontal="left" vertical="center" wrapText="1"/>
    </x:xf>
    <x:xf numFmtId="0" fontId="13" fillId="14" borderId="0" xfId="0" applyNumberFormat="1" applyFont="1" applyFill="1" applyBorder="1" applyAlignment="1">
      <x:alignment horizontal="center" vertical="bottom" wrapText="0"/>
    </x:xf>
    <x:xf numFmtId="0" fontId="19" fillId="14" borderId="0" xfId="0" applyNumberFormat="1" applyFont="1" applyFill="1" applyBorder="1" applyAlignment="1">
      <x:alignment horizontal="center" vertical="bottom" wrapText="0"/>
    </x:xf>
    <x:xf numFmtId="0" fontId="17" fillId="15" borderId="11" xfId="0" applyNumberFormat="1" applyFont="1" applyFill="1" applyBorder="1" applyAlignment="1">
      <x:alignment vertical="top" wrapText="1"/>
    </x:xf>
    <x:xf numFmtId="0" fontId="20" fillId="15" borderId="11" xfId="0" applyNumberFormat="1" applyFont="1" applyFill="1" applyBorder="1" applyAlignment="1">
      <x:alignment vertical="top" wrapText="1"/>
    </x:xf>
    <x:xf numFmtId="0" fontId="20" fillId="15" borderId="13" xfId="0" applyNumberFormat="1" applyFont="1" applyFill="1" applyBorder="1" applyAlignment="1">
      <x:alignment vertical="top" wrapText="1"/>
    </x:xf>
    <x:xf numFmtId="0" fontId="0" fillId="16" borderId="11" xfId="0" applyNumberFormat="1" applyFont="1" applyFill="1" applyBorder="1" applyAlignment="1">
      <x:alignment vertical="top" wrapText="1"/>
    </x:xf>
    <x:xf numFmtId="0" fontId="0" fillId="16" borderId="13" xfId="0" applyNumberFormat="1" applyFont="1" applyFill="1" applyBorder="1" applyAlignment="1">
      <x:alignment vertical="top" wrapText="1"/>
    </x:xf>
    <x:xf numFmtId="0" fontId="0" fillId="17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ill>
        <x:patternFill patternType="none"/>
      </x:fill>
      <x:border/>
    </x:dxf>
    <x:dxf>
      <x:fill>
        <x:patternFill>
          <x:bgColor rgb="FF356854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3b8aacd4144202" /><Relationship Type="http://schemas.openxmlformats.org/officeDocument/2006/relationships/theme" Target="/xl/theme/theme1.xml" Id="R3229c78f2d6b42fd" /><Relationship Type="http://schemas.openxmlformats.org/officeDocument/2006/relationships/sharedStrings" Target="/xl/sharedStrings.xml" Id="Rf46963ee283b4b21" /><Relationship Type="http://schemas.openxmlformats.org/officeDocument/2006/relationships/worksheet" Target="/xl/worksheets/sheet1.xml" Id="Rb41f6d50ed254479" /><Relationship Type="http://schemas.openxmlformats.org/officeDocument/2006/relationships/worksheet" Target="/xl/worksheets/sheet2.xml" Id="R91cb37e2a07d44c3" /><Relationship Type="http://schemas.openxmlformats.org/officeDocument/2006/relationships/worksheet" Target="/xl/worksheets/sheet3.xml" Id="Rabf5d226aa5f43cf" /><Relationship Type="http://schemas.openxmlformats.org/officeDocument/2006/relationships/worksheet" Target="/xl/worksheets/sheet4.xml" Id="R30e9a608601c4308" /><Relationship Type="http://schemas.openxmlformats.org/officeDocument/2006/relationships/worksheet" Target="/xl/worksheets/sheet5.xml" Id="R1687628f3e59444c" /><Relationship Type="http://schemas.openxmlformats.org/officeDocument/2006/relationships/worksheet" Target="/xl/worksheets/sheet6.xml" Id="R22f4adb1770d405b" /><Relationship Type="http://schemas.microsoft.com/office/2017/10/relationships/person" Target="/xl/persons/person.xml" Id="R1a8f096fe3244325" /></Relationships>
</file>

<file path=xl/persons/person.xml><?xml version="1.0" encoding="utf-8"?>
<xltc:personList xmlns:xltc="http://schemas.microsoft.com/office/spreadsheetml/2018/threadedcomments">
  <xltc:person displayName="Hasan Bin Mohammad" id="{7F7E5A4C-A219-47C4-B6DF-76BF16E89BF6}"/>
</xltc:personList>
</file>

<file path=xl/tables/table1.xml><?xml version="1.0" encoding="utf-8"?>
<x:table xmlns:x="http://schemas.openxmlformats.org/spreadsheetml/2006/main" id="1" name="Table1" displayName="Table1" ref="A1:L94" headerRowCount="1" totalsRowCount="0">
  <x:tableColumns count="12">
    <x:tableColumn id="1" name="\"/>
    <x:tableColumn id="2" name="FR ID"/>
    <x:tableColumn id="3" name="Functional Requirement"/>
    <x:tableColumn id="4" name="User Story ID"/>
    <x:tableColumn id="5" name="US Title"/>
    <x:tableColumn id="6" name="As a (precise role)"/>
    <x:tableColumn id="7" name="I want (requirement)"/>
    <x:tableColumn id="8" name="So that (completion condition)"/>
    <x:tableColumn id="9" name="User Story"/>
    <x:tableColumn id="10" name="Acceptance Criteria "/>
    <x:tableColumn id="11" name="Priority"/>
    <x:tableColumn id="12" name="Legacy Implementation Status"/>
  </x:tableColumns>
  <x:tableStyleInfo name="FR, User Stories-style" showFirstColumn="1" showLastColumn="1" showRowStripes="1" showColumnStripes="0"/>
</x:table>
</file>

<file path=xl/tables/table2.xml><?xml version="1.0" encoding="utf-8"?>
<x:table xmlns:x="http://schemas.openxmlformats.org/spreadsheetml/2006/main" id="2" name="ConsistencyAuditTable" displayName="ConsistencyAuditTable" ref="A1:I94" headerRowCount="1" totalsRowCount="0" totalsRowShown="0">
  <x:tableColumns count="9">
    <x:tableColumn id="1" name="Source Index"/>
    <x:tableColumn id="2" name="Original FR ID"/>
    <x:tableColumn id="3" name="Final FR ID"/>
    <x:tableColumn id="4" name="User Story ID"/>
    <x:tableColumn id="5" name="Module"/>
    <x:tableColumn id="6" name="Audit Result"/>
    <x:tableColumn id="7" name="Finding"/>
    <x:tableColumn id="8" name="Resolution"/>
    <x:tableColumn id="9" name="Owning Diagra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irmedRulesTable" displayName="ConfirmedRulesTable" ref="A1:C49" headerRowCount="1" totalsRowCount="0" totalsRowShown="0">
  <x:tableColumns count="3">
    <x:tableColumn id="1" name="Rule ID"/>
    <x:tableColumn id="2" name="Domain"/>
    <x:tableColumn id="3" name="Confirmed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mplementationScopeTable" displayName="ImplementationScopeTable" ref="A4:E16" headerRowCount="1" totalsRowCount="0" totalsRowShown="0">
  <x:tableColumns count="5">
    <x:tableColumn id="1" name="Module / Workstream"/>
    <x:tableColumn id="2" name="Rebuild Scope"/>
    <x:tableColumn id="3" name="Functional Requirements"/>
    <x:tableColumn id="4" name="One-Month Outcome"/>
    <x:tableColumn id="5" name="Decis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70" dT="2026-08-10T04:14:14.209" personId="{7F7E5A4C-A219-47C4-B6DF-76BF16E89BF6}" id="{A15F2784-FD9C-5A0F-D619-320FBF57EA3E}">
    <xltc:text>Open consistency gap: FR_62 and the project description include Events, but no Event lifecycle requirements or Event class exist in the supplied corrected models.</xltc:text>
  </xltc:threadedComment>
  <xltc:threadedComment ref="C74" dT="2026-08-10T04:14:14.21" personId="{7F7E5A4C-A219-47C4-B6DF-76BF16E89BF6}" id="{0E20441E-87D0-EFFE-0612-0AB55E0E9A46}">
    <xltc:text>Open consistency gap: Permanent user deletion is not represented by canonical AccountStatus and may conflict with immutable audit, messages, memberships, and authorship history.</xltc:text>
  </xltc:threadedComment>
  <xltc:threadedComment ref="C75" dT="2026-08-10T04:14:14.21" personId="{7F7E5A4C-A219-47C4-B6DF-76BF16E89BF6}" id="{BE818B46-5196-CD61-3EAE-59B73E94DDE3}">
    <xltc:text>Open consistency gap: The requirements use a moderation queue and report status, but no ContentReport/ModerationReport entity or lifecycle exists in the corrected diagrams.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ab087f1a00b04bf9" /><Relationship Type="http://schemas.openxmlformats.org/officeDocument/2006/relationships/vmlDrawing" Target="/xl/drawings/vmldrawing.vml" Id="R79b4351847c24dbf" /><Relationship Type="http://schemas.microsoft.com/office/2017/10/relationships/threadedComment" Target="/xl/threadedcomments/threadedcomment.xml" Id="Rce8c476a654c419e" /><Relationship Type="http://schemas.openxmlformats.org/officeDocument/2006/relationships/table" Target="/xl/tables/table1.xml" Id="Raf2478bd2d994a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0049ebf7114f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f02ad9cd444f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9cd099de9094bab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9.3799991607666" customWidth="1"/>
    <x:col min="2" max="2" width="68.75" customWidth="1"/>
  </x:cols>
  <x:sheetData>
    <x:row r="1">
      <x:c r="A1" s="1" t="s">
        <x:v>0</x:v>
      </x:c>
      <x:c r="B1" s="2">
        <x:v>4.0</x:v>
      </x:c>
      <x:c r="C1" s="3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>
      <x:c r="A2" s="1" t="s">
        <x:v>1</x:v>
      </x:c>
      <x:c r="B2" s="2" t="s">
        <x:v>2</x:v>
      </x:c>
      <x:c r="C2" s="3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</x:row>
    <x:row r="3">
      <x:c r="A3" s="1" t="s">
        <x:v>3</x:v>
      </x:c>
      <x:c r="B3" s="2" t="s">
        <x:v>4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</x:row>
    <x:row r="4">
      <x:c r="A4" s="1" t="s">
        <x:v>5</x:v>
      </x:c>
      <x:c r="B4" s="5" t="s">
        <x:v>6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</x:row>
    <x:row r="5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</x:row>
    <x:row r="6">
      <x:c r="A6" s="6"/>
      <x:c r="C6" s="6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</x:row>
    <x:row r="7">
      <x:c r="A7" s="7"/>
      <x:c r="B7" s="7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</x:row>
    <x:row r="8">
      <x:c r="A8" s="8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</x:row>
    <x:row r="9">
      <x:c r="A9" s="8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</x:row>
    <x:row r="10">
      <x:c r="A10" s="8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</x:row>
    <x:row r="11">
      <x:c r="A11" s="8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</x:row>
    <x:row r="12">
      <x:c r="A12" s="8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</x:row>
    <x:row r="13">
      <x:c r="A13" s="8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</x:row>
    <x:row r="14">
      <x:c r="A14" s="8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</x:row>
    <x:row r="15">
      <x:c r="A15" s="8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</x:row>
    <x:row r="16">
      <x:c r="A16" s="8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</x:row>
    <x:row r="17">
      <x:c r="A17" s="8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</x:row>
    <x:row r="18">
      <x:c r="A18" s="8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</x:row>
    <x:row r="19">
      <x:c r="A19" s="8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</x:row>
    <x:row r="20">
      <x:c r="A20" s="8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</x:row>
    <x:row r="21">
      <x:c r="A21" s="8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</x:row>
    <x:row r="22">
      <x:c r="A22" s="8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</x:row>
    <x:row r="23">
      <x:c r="A23" s="8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</x:row>
    <x:row r="30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</x:row>
    <x:row r="302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</x:row>
    <x:row r="303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</x:row>
    <x:row r="304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</x:row>
    <x:row r="305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</x:row>
    <x:row r="306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</x:row>
    <x:row r="307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</x:row>
    <x:row r="308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</x:row>
    <x:row r="309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</x:row>
    <x:row r="310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</x:row>
    <x:row r="31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</x:row>
    <x:row r="312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</x:row>
    <x:row r="313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</x:row>
    <x:row r="314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</x:row>
    <x:row r="315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</x:row>
    <x:row r="316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</x:row>
    <x:row r="317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</x:row>
    <x:row r="318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</x:row>
    <x:row r="319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</x:row>
    <x:row r="320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</x:row>
    <x:row r="32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</x:row>
    <x:row r="322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</x:row>
    <x:row r="323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</x:row>
    <x:row r="324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</x:row>
    <x:row r="325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</x:row>
    <x:row r="326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</x:row>
    <x:row r="327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</x:row>
    <x:row r="328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</x:row>
    <x:row r="329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</x:row>
    <x:row r="330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</x:row>
    <x:row r="33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</x:row>
    <x:row r="332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</x:row>
    <x:row r="333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</x:row>
    <x:row r="334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</x:row>
    <x:row r="335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</x:row>
    <x:row r="336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</x:row>
    <x:row r="337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</x:row>
    <x:row r="338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</x:row>
    <x:row r="339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</x:row>
    <x:row r="340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</x:row>
    <x:row r="34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</x:row>
    <x:row r="342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</x:row>
    <x:row r="343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</x:row>
    <x:row r="344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</x:row>
    <x:row r="345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</x:row>
    <x:row r="346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</x:row>
    <x:row r="347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</x:row>
    <x:row r="348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</x:row>
    <x:row r="349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</x:row>
    <x:row r="350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</x:row>
    <x:row r="35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</x:row>
    <x:row r="352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</x:row>
    <x:row r="353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</x:row>
    <x:row r="354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</x:row>
    <x:row r="355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</x:row>
    <x:row r="356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</x:row>
    <x:row r="357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</x:row>
    <x:row r="358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</x:row>
    <x:row r="359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</x:row>
    <x:row r="360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</x:row>
    <x:row r="36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</x:row>
    <x:row r="362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</x:row>
    <x:row r="363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</x:row>
    <x:row r="364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</x:row>
    <x:row r="365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</x:row>
    <x:row r="366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</x:row>
    <x:row r="367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</x:row>
    <x:row r="368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</x:row>
    <x:row r="369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</x:row>
    <x:row r="370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</x:row>
    <x:row r="37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</x:row>
    <x:row r="372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</x:row>
    <x:row r="373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</x:row>
    <x:row r="374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</x:row>
    <x:row r="375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</x:row>
    <x:row r="376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</x:row>
    <x:row r="377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</x:row>
    <x:row r="378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</x:row>
    <x:row r="379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</x:row>
    <x:row r="380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</x:row>
    <x:row r="38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</x:row>
    <x:row r="382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</x:row>
    <x:row r="383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</x:row>
    <x:row r="384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</x:row>
    <x:row r="385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</x:row>
    <x:row r="386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</x:row>
    <x:row r="387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</x:row>
    <x:row r="388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</x:row>
    <x:row r="389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</x:row>
    <x:row r="390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</x:row>
    <x:row r="39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</x:row>
    <x:row r="392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</x:row>
    <x:row r="393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</x:row>
    <x:row r="394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</x:row>
    <x:row r="395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</x:row>
    <x:row r="396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</x:row>
    <x:row r="397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</x:row>
    <x:row r="398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</x:row>
    <x:row r="399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</x:row>
    <x:row r="400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</x:row>
    <x:row r="40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</x:row>
    <x:row r="402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</x:row>
    <x:row r="403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</x:row>
    <x:row r="404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</x:row>
    <x:row r="405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</x:row>
    <x:row r="406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</x:row>
    <x:row r="407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</x:row>
    <x:row r="408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</x:row>
    <x:row r="409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</x:row>
    <x:row r="410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</x:row>
    <x:row r="41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</x:row>
    <x:row r="412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</x:row>
    <x:row r="413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</x:row>
    <x:row r="414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</x:row>
    <x:row r="415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</x:row>
    <x:row r="416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</x:row>
    <x:row r="417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</x:row>
    <x:row r="418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</x:row>
    <x:row r="419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</x:row>
    <x:row r="420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</x:row>
    <x:row r="42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</x:row>
    <x:row r="422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</x:row>
    <x:row r="423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</x:row>
    <x:row r="424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</x:row>
    <x:row r="425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</x:row>
    <x:row r="426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</x:row>
    <x:row r="427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</x:row>
    <x:row r="428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</x:row>
    <x:row r="429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</x:row>
    <x:row r="430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</x:row>
    <x:row r="43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</x:row>
    <x:row r="432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</x:row>
    <x:row r="433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</x:row>
    <x:row r="434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</x:row>
    <x:row r="435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</x:row>
    <x:row r="436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</x:row>
    <x:row r="437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</x:row>
    <x:row r="438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</x:row>
    <x:row r="439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</x:row>
    <x:row r="440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</x:row>
    <x:row r="44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</x:row>
    <x:row r="442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</x:row>
    <x:row r="443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</x:row>
    <x:row r="444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</x:row>
    <x:row r="445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</x:row>
    <x:row r="446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</x:row>
    <x:row r="447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</x:row>
    <x:row r="448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</x:row>
    <x:row r="449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</x:row>
    <x:row r="450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</x:row>
    <x:row r="45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</x:row>
    <x:row r="452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</x:row>
    <x:row r="453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</x:row>
    <x:row r="454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</x:row>
    <x:row r="455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</x:row>
    <x:row r="456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</x:row>
    <x:row r="457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</x:row>
    <x:row r="458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</x:row>
    <x:row r="459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</x:row>
    <x:row r="460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</x:row>
    <x:row r="46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</x:row>
    <x:row r="462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</x:row>
    <x:row r="463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</x:row>
    <x:row r="464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</x:row>
    <x:row r="465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</x:row>
    <x:row r="466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</x:row>
    <x:row r="467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</x:row>
    <x:row r="468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</x:row>
    <x:row r="469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</x:row>
    <x:row r="470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</x:row>
    <x:row r="47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</x:row>
    <x:row r="472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</x:row>
    <x:row r="473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</x:row>
    <x:row r="474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</x:row>
    <x:row r="475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</x:row>
    <x:row r="476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</x:row>
    <x:row r="477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</x:row>
    <x:row r="478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</x:row>
    <x:row r="479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</x:row>
    <x:row r="480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</x:row>
    <x:row r="48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</x:row>
    <x:row r="482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</x:row>
    <x:row r="483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</x:row>
    <x:row r="484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</x:row>
    <x:row r="485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</x:row>
    <x:row r="486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</x:row>
    <x:row r="487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</x:row>
    <x:row r="488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</x:row>
    <x:row r="489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</x:row>
    <x:row r="490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</x:row>
    <x:row r="49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</x:row>
    <x:row r="492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</x:row>
    <x:row r="493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</x:row>
    <x:row r="494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</x:row>
    <x:row r="495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</x:row>
    <x:row r="496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</x:row>
    <x:row r="497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</x:row>
    <x:row r="498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</x:row>
    <x:row r="499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</x:row>
    <x:row r="500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</x:row>
    <x:row r="50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</x:row>
    <x:row r="502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</x:row>
    <x:row r="503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</x:row>
    <x:row r="504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</x:row>
    <x:row r="505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</x:row>
    <x:row r="506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</x:row>
    <x:row r="507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</x:row>
    <x:row r="508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</x:row>
    <x:row r="509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</x:row>
    <x:row r="510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</x:row>
    <x:row r="51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</x:row>
    <x:row r="512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</x:row>
    <x:row r="513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</x:row>
    <x:row r="514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</x:row>
    <x:row r="515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</x:row>
    <x:row r="516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</x:row>
    <x:row r="517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</x:row>
    <x:row r="518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</x:row>
    <x:row r="519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</x:row>
    <x:row r="520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</x:row>
    <x:row r="52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</x:row>
    <x:row r="522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</x:row>
    <x:row r="523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</x:row>
    <x:row r="524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</x:row>
    <x:row r="525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</x:row>
    <x:row r="526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</x:row>
    <x:row r="527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</x:row>
    <x:row r="528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</x:row>
    <x:row r="529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</x:row>
    <x:row r="530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</x:row>
    <x:row r="53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</x:row>
    <x:row r="532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</x:row>
    <x:row r="533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</x:row>
    <x:row r="534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</x:row>
    <x:row r="535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</x:row>
    <x:row r="536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</x:row>
    <x:row r="537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</x:row>
    <x:row r="538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</x:row>
    <x:row r="539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</x:row>
    <x:row r="540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</x:row>
    <x:row r="54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</x:row>
    <x:row r="542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</x:row>
    <x:row r="543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</x:row>
    <x:row r="544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</x:row>
    <x:row r="545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</x:row>
    <x:row r="546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</x:row>
    <x:row r="547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</x:row>
    <x:row r="548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</x:row>
    <x:row r="549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</x:row>
    <x:row r="550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</x:row>
    <x:row r="55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</x:row>
    <x:row r="552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</x:row>
    <x:row r="553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</x:row>
    <x:row r="554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</x:row>
    <x:row r="555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</x:row>
    <x:row r="556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</x:row>
    <x:row r="557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</x:row>
    <x:row r="558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</x:row>
    <x:row r="559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</x:row>
    <x:row r="560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</x:row>
    <x:row r="56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</x:row>
    <x:row r="562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</x:row>
    <x:row r="563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</x:row>
    <x:row r="564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</x:row>
    <x:row r="565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</x:row>
    <x:row r="566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</x:row>
    <x:row r="567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</x:row>
    <x:row r="568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</x:row>
    <x:row r="569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</x:row>
    <x:row r="570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</x:row>
    <x:row r="57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</x:row>
    <x:row r="572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</x:row>
    <x:row r="573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</x:row>
    <x:row r="574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</x:row>
    <x:row r="575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</x:row>
    <x:row r="576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</x:row>
    <x:row r="577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</x:row>
    <x:row r="578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</x:row>
    <x:row r="579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</x:row>
    <x:row r="580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</x:row>
    <x:row r="58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</x:row>
    <x:row r="582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</x:row>
    <x:row r="583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</x:row>
    <x:row r="584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</x:row>
    <x:row r="585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</x:row>
    <x:row r="586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</x:row>
    <x:row r="587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</x:row>
    <x:row r="588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</x:row>
    <x:row r="589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</x:row>
    <x:row r="590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</x:row>
    <x:row r="59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</x:row>
    <x:row r="592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</x:row>
    <x:row r="593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</x:row>
    <x:row r="594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</x:row>
    <x:row r="595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</x:row>
    <x:row r="596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</x:row>
    <x:row r="597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</x:row>
    <x:row r="598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</x:row>
    <x:row r="599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</x:row>
    <x:row r="600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</x:row>
    <x:row r="60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</x:row>
    <x:row r="602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</x:row>
    <x:row r="603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</x:row>
    <x:row r="604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</x:row>
    <x:row r="605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</x:row>
    <x:row r="606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</x:row>
    <x:row r="607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</x:row>
    <x:row r="608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</x:row>
    <x:row r="609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</x:row>
    <x:row r="610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</x:row>
    <x:row r="61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</x:row>
    <x:row r="612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</x:row>
    <x:row r="613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</x:row>
    <x:row r="614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</x:row>
    <x:row r="615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</x:row>
    <x:row r="616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</x:row>
    <x:row r="617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</x:row>
    <x:row r="618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</x:row>
    <x:row r="619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</x:row>
    <x:row r="620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</x:row>
    <x:row r="62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</x:row>
    <x:row r="622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</x:row>
    <x:row r="623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</x:row>
    <x:row r="624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</x:row>
    <x:row r="625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</x:row>
    <x:row r="626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</x:row>
    <x:row r="627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</x:row>
    <x:row r="628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</x:row>
    <x:row r="629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</x:row>
    <x:row r="630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</x:row>
    <x:row r="63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</x:row>
    <x:row r="632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</x:row>
    <x:row r="633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</x:row>
    <x:row r="634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</x:row>
    <x:row r="635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</x:row>
    <x:row r="636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</x:row>
    <x:row r="637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</x:row>
    <x:row r="638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</x:row>
    <x:row r="639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</x:row>
    <x:row r="640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</x:row>
    <x:row r="64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</x:row>
    <x:row r="642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</x:row>
    <x:row r="643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</x:row>
    <x:row r="644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</x:row>
    <x:row r="645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</x:row>
    <x:row r="646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</x:row>
    <x:row r="647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</x:row>
    <x:row r="648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</x:row>
    <x:row r="649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</x:row>
    <x:row r="650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</x:row>
    <x:row r="65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</x:row>
    <x:row r="652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</x:row>
    <x:row r="653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</x:row>
    <x:row r="654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</x:row>
    <x:row r="655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</x:row>
    <x:row r="656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</x:row>
    <x:row r="657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</x:row>
    <x:row r="658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</x:row>
    <x:row r="659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</x:row>
    <x:row r="660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</x:row>
    <x:row r="66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</x:row>
    <x:row r="662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</x:row>
    <x:row r="663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</x:row>
    <x:row r="664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</x:row>
    <x:row r="665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</x:row>
    <x:row r="666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</x:row>
    <x:row r="667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</x:row>
    <x:row r="668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</x:row>
    <x:row r="669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</x:row>
    <x:row r="670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</x:row>
    <x:row r="67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</x:row>
    <x:row r="672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</x:row>
    <x:row r="673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</x:row>
    <x:row r="674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</x:row>
    <x:row r="675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</x:row>
    <x:row r="676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</x:row>
    <x:row r="677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</x:row>
    <x:row r="678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</x:row>
    <x:row r="679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</x:row>
    <x:row r="680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</x:row>
    <x:row r="68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</x:row>
    <x:row r="682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</x:row>
    <x:row r="683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</x:row>
    <x:row r="684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</x:row>
    <x:row r="685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</x:row>
    <x:row r="686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</x:row>
    <x:row r="687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</x:row>
    <x:row r="688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</x:row>
    <x:row r="689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</x:row>
    <x:row r="690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</x:row>
    <x:row r="69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</x:row>
    <x:row r="692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</x:row>
    <x:row r="693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</x:row>
    <x:row r="694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</x:row>
    <x:row r="695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</x:row>
    <x:row r="696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</x:row>
    <x:row r="697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</x:row>
    <x:row r="698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</x:row>
    <x:row r="699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</x:row>
    <x:row r="700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</x:row>
    <x:row r="70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</x:row>
    <x:row r="702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</x:row>
    <x:row r="703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</x:row>
    <x:row r="704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</x:row>
    <x:row r="705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</x:row>
    <x:row r="706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</x:row>
    <x:row r="707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</x:row>
    <x:row r="708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</x:row>
    <x:row r="709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</x:row>
    <x:row r="710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</x:row>
    <x:row r="71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</x:row>
    <x:row r="712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</x:row>
    <x:row r="713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</x:row>
    <x:row r="714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</x:row>
    <x:row r="715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</x:row>
    <x:row r="716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</x:row>
    <x:row r="717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</x:row>
    <x:row r="718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</x:row>
    <x:row r="719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</x:row>
    <x:row r="720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</x:row>
    <x:row r="72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</x:row>
    <x:row r="722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</x:row>
    <x:row r="723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</x:row>
    <x:row r="724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</x:row>
    <x:row r="725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</x:row>
    <x:row r="726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</x:row>
    <x:row r="727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</x:row>
    <x:row r="728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</x:row>
    <x:row r="729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</x:row>
    <x:row r="730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</x:row>
    <x:row r="73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</x:row>
    <x:row r="732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</x:row>
    <x:row r="733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</x:row>
    <x:row r="734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</x:row>
    <x:row r="735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</x:row>
    <x:row r="736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</x:row>
    <x:row r="737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</x:row>
    <x:row r="738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</x:row>
    <x:row r="739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</x:row>
    <x:row r="740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</x:row>
    <x:row r="74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</x:row>
    <x:row r="742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</x:row>
    <x:row r="743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</x:row>
    <x:row r="744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</x:row>
    <x:row r="745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</x:row>
    <x:row r="746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</x:row>
    <x:row r="747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</x:row>
    <x:row r="748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</x:row>
    <x:row r="749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</x:row>
    <x:row r="750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</x:row>
    <x:row r="75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</x:row>
    <x:row r="752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</x:row>
    <x:row r="753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</x:row>
    <x:row r="754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</x:row>
    <x:row r="755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</x:row>
    <x:row r="756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</x:row>
    <x:row r="757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</x:row>
    <x:row r="758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</x:row>
    <x:row r="759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</x:row>
    <x:row r="760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</x:row>
    <x:row r="76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</x:row>
    <x:row r="762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</x:row>
    <x:row r="763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</x:row>
    <x:row r="764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</x:row>
    <x:row r="765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</x:row>
    <x:row r="766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</x:row>
    <x:row r="767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</x:row>
    <x:row r="768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</x:row>
    <x:row r="769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</x:row>
    <x:row r="770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</x:row>
    <x:row r="77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</x:row>
    <x:row r="772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</x:row>
    <x:row r="773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</x:row>
    <x:row r="774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</x:row>
    <x:row r="775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</x:row>
    <x:row r="776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</x:row>
    <x:row r="777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</x:row>
    <x:row r="778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</x:row>
    <x:row r="779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</x:row>
    <x:row r="780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</x:row>
    <x:row r="78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</x:row>
    <x:row r="782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</x:row>
    <x:row r="783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</x:row>
    <x:row r="784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</x:row>
    <x:row r="785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</x:row>
    <x:row r="786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</x:row>
    <x:row r="787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</x:row>
    <x:row r="788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</x:row>
    <x:row r="789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</x:row>
    <x:row r="790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</x:row>
    <x:row r="79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</x:row>
    <x:row r="792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</x:row>
    <x:row r="793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</x:row>
    <x:row r="794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</x:row>
    <x:row r="795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</x:row>
    <x:row r="796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</x:row>
    <x:row r="797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</x:row>
    <x:row r="798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</x:row>
    <x:row r="799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</x:row>
    <x:row r="800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</x:row>
    <x:row r="80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</x:row>
    <x:row r="802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</x:row>
    <x:row r="803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</x:row>
    <x:row r="804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</x:row>
    <x:row r="805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</x:row>
    <x:row r="806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</x:row>
    <x:row r="807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</x:row>
    <x:row r="808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</x:row>
    <x:row r="809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</x:row>
    <x:row r="810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</x:row>
    <x:row r="81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</x:row>
    <x:row r="812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</x:row>
    <x:row r="813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</x:row>
    <x:row r="814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</x:row>
    <x:row r="815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</x:row>
    <x:row r="816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</x:row>
    <x:row r="817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</x:row>
    <x:row r="818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</x:row>
    <x:row r="819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</x:row>
    <x:row r="820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</x:row>
    <x:row r="82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</x:row>
    <x:row r="822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</x:row>
    <x:row r="823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</x:row>
    <x:row r="824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</x:row>
    <x:row r="825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</x:row>
    <x:row r="826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</x:row>
    <x:row r="827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</x:row>
    <x:row r="828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</x:row>
    <x:row r="829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</x:row>
    <x:row r="830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</x:row>
    <x:row r="83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</x:row>
    <x:row r="832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</x:row>
    <x:row r="833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</x:row>
    <x:row r="834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</x:row>
    <x:row r="835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</x:row>
    <x:row r="836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</x:row>
    <x:row r="837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</x:row>
    <x:row r="838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</x:row>
    <x:row r="839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</x:row>
    <x:row r="840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</x:row>
    <x:row r="84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</x:row>
    <x:row r="842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</x:row>
    <x:row r="843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</x:row>
    <x:row r="844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</x:row>
    <x:row r="845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</x:row>
    <x:row r="846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</x:row>
    <x:row r="847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</x:row>
    <x:row r="848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</x:row>
    <x:row r="849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</x:row>
    <x:row r="850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</x:row>
    <x:row r="85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</x:row>
    <x:row r="852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</x:row>
    <x:row r="853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</x:row>
    <x:row r="854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</x:row>
    <x:row r="855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</x:row>
    <x:row r="856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</x:row>
    <x:row r="857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</x:row>
    <x:row r="858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</x:row>
    <x:row r="859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</x:row>
    <x:row r="860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</x:row>
    <x:row r="86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</x:row>
    <x:row r="862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</x:row>
    <x:row r="863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</x:row>
    <x:row r="864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</x:row>
    <x:row r="865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</x:row>
    <x:row r="866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</x:row>
    <x:row r="867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</x:row>
    <x:row r="868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</x:row>
    <x:row r="869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</x:row>
    <x:row r="870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</x:row>
    <x:row r="87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</x:row>
    <x:row r="872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</x:row>
    <x:row r="873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</x:row>
    <x:row r="874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</x:row>
    <x:row r="875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</x:row>
    <x:row r="876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</x:row>
    <x:row r="877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</x:row>
    <x:row r="878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</x:row>
    <x:row r="879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</x:row>
    <x:row r="880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</x:row>
    <x:row r="88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</x:row>
    <x:row r="882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</x:row>
    <x:row r="883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</x:row>
    <x:row r="884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</x:row>
    <x:row r="885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</x:row>
    <x:row r="886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</x:row>
    <x:row r="887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</x:row>
    <x:row r="888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</x:row>
    <x:row r="889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</x:row>
    <x:row r="890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</x:row>
    <x:row r="89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</x:row>
    <x:row r="892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</x:row>
    <x:row r="893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</x:row>
    <x:row r="894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</x:row>
    <x:row r="895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</x:row>
    <x:row r="896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</x:row>
    <x:row r="897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</x:row>
    <x:row r="898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</x:row>
    <x:row r="899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</x:row>
    <x:row r="900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</x:row>
    <x:row r="90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</x:row>
    <x:row r="902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</x:row>
    <x:row r="903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</x:row>
    <x:row r="904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</x:row>
    <x:row r="905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</x:row>
    <x:row r="906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</x:row>
    <x:row r="907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</x:row>
    <x:row r="908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</x:row>
    <x:row r="909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</x:row>
    <x:row r="910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</x:row>
    <x:row r="91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</x:row>
    <x:row r="912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</x:row>
    <x:row r="913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</x:row>
    <x:row r="914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</x:row>
    <x:row r="915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</x:row>
    <x:row r="916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</x:row>
    <x:row r="917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</x:row>
    <x:row r="918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</x:row>
    <x:row r="919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</x:row>
    <x:row r="920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</x:row>
    <x:row r="92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</x:row>
    <x:row r="922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</x:row>
    <x:row r="923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</x:row>
    <x:row r="924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</x:row>
    <x:row r="925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</x:row>
    <x:row r="926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</x:row>
    <x:row r="927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</x:row>
    <x:row r="928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</x:row>
    <x:row r="929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</x:row>
    <x:row r="930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</x:row>
    <x:row r="93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</x:row>
    <x:row r="932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</x:row>
    <x:row r="933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</x:row>
    <x:row r="934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</x:row>
    <x:row r="935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</x:row>
    <x:row r="936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</x:row>
    <x:row r="937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</x:row>
    <x:row r="938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</x:row>
    <x:row r="939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</x:row>
    <x:row r="940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</x:row>
    <x:row r="94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</x:row>
    <x:row r="942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</x:row>
    <x:row r="943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</x:row>
    <x:row r="944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</x:row>
    <x:row r="945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</x:row>
    <x:row r="946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</x:row>
    <x:row r="947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</x:row>
    <x:row r="948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</x:row>
    <x:row r="949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</x:row>
    <x:row r="950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</x:row>
    <x:row r="95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</x:row>
    <x:row r="952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</x:row>
    <x:row r="953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</x:row>
    <x:row r="954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</x:row>
    <x:row r="955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</x:row>
    <x:row r="956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</x:row>
    <x:row r="957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</x:row>
    <x:row r="958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</x:row>
    <x:row r="959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</x:row>
    <x:row r="960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</x:row>
    <x:row r="96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</x:row>
    <x:row r="962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</x:row>
    <x:row r="963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</x:row>
    <x:row r="964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</x:row>
    <x:row r="965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</x:row>
    <x:row r="966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</x:row>
    <x:row r="967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</x:row>
    <x:row r="968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</x:row>
    <x:row r="969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</x:row>
    <x:row r="970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</x:row>
    <x:row r="97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</x:row>
    <x:row r="972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</x:row>
    <x:row r="973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</x:row>
    <x:row r="974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</x:row>
    <x:row r="975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</x:row>
    <x:row r="976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</x:row>
    <x:row r="977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</x:row>
    <x:row r="978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</x:row>
    <x:row r="979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</x:row>
    <x:row r="980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</x:row>
    <x:row r="98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</x:row>
    <x:row r="982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</x:row>
    <x:row r="983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</x:row>
    <x:row r="984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</x:row>
    <x:row r="985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</x:row>
    <x:row r="986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</x:row>
    <x:row r="987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</x:row>
    <x:row r="988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</x:row>
    <x:row r="989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</x:row>
    <x:row r="990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</x:row>
    <x:row r="99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</x:row>
    <x:row r="992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</x:row>
    <x:row r="993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</x:row>
    <x:row r="994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</x:row>
    <x:row r="995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</x:row>
    <x:row r="996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</x:row>
    <x:row r="997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</x:row>
    <x:row r="998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</x:row>
    <x:row r="999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</x:row>
    <x:row r="1000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</x:row>
    <x:row r="1001">
      <x:c r="A1001" s="4"/>
      <x:c r="B1001" s="4"/>
      <x:c r="C1001" s="4"/>
      <x:c r="D1001" s="4"/>
      <x:c r="E1001" s="4"/>
      <x:c r="F1001" s="4"/>
      <x:c r="G1001" s="4"/>
      <x:c r="H1001" s="4"/>
      <x:c r="I1001" s="4"/>
      <x:c r="J1001" s="4"/>
      <x:c r="K1001" s="4"/>
      <x:c r="L1001" s="4"/>
      <x:c r="M1001" s="4"/>
      <x:c r="N1001" s="4"/>
      <x:c r="O1001" s="4"/>
      <x:c r="P1001" s="4"/>
      <x:c r="Q1001" s="4"/>
      <x:c r="R1001" s="4"/>
      <x:c r="S1001" s="4"/>
      <x:c r="T1001" s="4"/>
      <x:c r="U1001" s="4"/>
      <x:c r="V1001" s="4"/>
      <x:c r="W1001" s="4"/>
      <x:c r="X1001" s="4"/>
      <x:c r="Y1001" s="4"/>
    </x:row>
  </x:sheetData>
  <x:mergeCells>
    <x:mergeCell ref="A6:B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14.630000114440918" customWidth="1"/>
    <x:col min="3" max="3" width="27.75" customWidth="1"/>
    <x:col min="4" max="4" width="19" customWidth="1"/>
    <x:col min="5" max="5" width="15.630000114440918" customWidth="1"/>
    <x:col min="6" max="6" width="19" customWidth="1"/>
    <x:col min="7" max="7" width="20.75" customWidth="1"/>
    <x:col min="8" max="8" width="19.1299991607666" customWidth="1"/>
    <x:col min="9" max="9" width="24.5" customWidth="1"/>
    <x:col min="10" max="10" width="30.25" customWidth="1"/>
    <x:col min="11" max="11" width="14.25" customWidth="1"/>
    <x:col min="12" max="12" width="13.630000114440918" customWidth="1"/>
  </x:cols>
  <x:sheetData>
    <x:row r="1" ht="22.5" customHeight="1">
      <x:c r="A1" s="9" t="s">
        <x:v>7</x:v>
      </x:c>
      <x:c r="B1" s="9" t="s">
        <x:v>8</x:v>
      </x:c>
      <x:c r="C1" s="9" t="s">
        <x:v>9</x:v>
      </x:c>
      <x:c r="D1" s="9" t="s">
        <x:v>10</x:v>
      </x:c>
      <x:c r="E1" s="9" t="s">
        <x:v>11</x:v>
      </x:c>
      <x:c r="F1" s="9" t="s">
        <x:v>12</x:v>
      </x:c>
      <x:c r="G1" s="9" t="s">
        <x:v>13</x:v>
      </x:c>
      <x:c r="H1" s="9" t="s">
        <x:v>14</x:v>
      </x:c>
      <x:c r="I1" s="9" t="s">
        <x:v>15</x:v>
      </x:c>
      <x:c r="J1" s="9" t="s">
        <x:v>16</x:v>
      </x:c>
      <x:c r="K1" s="9" t="s">
        <x:v>17</x:v>
      </x:c>
      <x:c r="L1" s="9" t="str">
        <x:v>Legacy Implementation Status</x:v>
      </x:c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</x:row>
    <x:row r="2" ht="22.5" customHeight="1">
      <x:c r="A2" s="11" t="n">
        <x:v>1</x:v>
      </x:c>
      <x:c r="B2" s="12" t="str">
        <x:v>FR_1</x:v>
      </x:c>
      <x:c r="C2" s="13" t="str">
        <x:v>The system shall allow an eligible university member to create an account using an approved university email address.</x:v>
      </x:c>
      <x:c r="D2" s="12" t="str">
        <x:v>US_1</x:v>
      </x:c>
      <x:c r="E2" s="14" t="str">
        <x:v>Create a University Account</x:v>
      </x:c>
      <x:c r="F2" s="13" t="str">
        <x:v>Eligible university member</x:v>
      </x:c>
      <x:c r="G2" s="13" t="str">
        <x:v>to create an account using my university-approved email address</x:v>
      </x:c>
      <x:c r="H2" s="13" t="str">
        <x:v> I can join the UniConnect platform.</x:v>
      </x:c>
      <x:c r="I2" s="13" t="str">
        <x:v>As an eligible University Member, I want to create an account using my university-approved email address, so that I can join the UniConnect platform.</x:v>
      </x:c>
      <x:c r="J2" s="13" t="str">
        <x:v>- Full name, university email, password, and platform role (Student or Alumni) are collected.
- Only approved university email domains are accepted.
- Duplicate emails are rejected.
- Password must contain at least 8 characters.
- AccountStatus is set to PENDING_VERIFICATION.</x:v>
      </x:c>
      <x:c r="K2" s="15" t="str">
        <x:v>High</x:v>
      </x:c>
      <x:c r="L2" s="15" t="str">
        <x:v>Done</x:v>
      </x:c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  <x:c r="X2" s="16"/>
      <x:c r="Y2" s="16"/>
      <x:c r="Z2" s="16"/>
      <x:c r="AA2" s="16"/>
      <x:c r="AB2" s="16"/>
      <x:c r="AC2" s="16"/>
      <x:c r="AD2" s="16"/>
    </x:row>
    <x:row r="3" ht="22.5" customHeight="1">
      <x:c r="A3" s="11" t="n">
        <x:v>2</x:v>
      </x:c>
      <x:c r="B3" s="12" t="str">
        <x:v>FR_2</x:v>
      </x:c>
      <x:c r="C3" s="13" t="str">
        <x:v>The system shall allow a member with AccountStatus = PENDING_VERIFICATION to activate their account through a single-use verification link sent to their university email address.</x:v>
      </x:c>
      <x:c r="D3" s="12" t="str">
        <x:v>US_2.1</x:v>
      </x:c>
      <x:c r="E3" s="14" t="str">
        <x:v>Confirm University Affiliation</x:v>
      </x:c>
      <x:c r="F3" s="13" t="str">
        <x:v>Member with a pending-verification account</x:v>
      </x:c>
      <x:c r="G3" s="13" t="str">
        <x:v>to verify my university email</x:v>
      </x:c>
      <x:c r="H3" s="13" t="str">
        <x:v>the platform can trust my institutional affiliation and activate my account.</x:v>
      </x:c>
      <x:c r="I3" s="13" t="str">
        <x:v>As a newly registered member, I want to verify my university email, so that the platform can trust my institutional affiliation and activate my account.</x:v>
      </x:c>
      <x:c r="J3" s="13" t="str">
        <x:v>- A verification email is sent after registration.
- The link expires after 24 hours.
- A valid unused link changes AccountStatus from PENDING_VERIFICATION to ACTIVE.
- Invalid, expired, or already-used links are rejected.
- Only a secure token hash is stored.</x:v>
      </x:c>
      <x:c r="K3" s="15" t="str">
        <x:v>High</x:v>
      </x:c>
      <x:c r="L3" s="15" t="str">
        <x:v>Done</x:v>
      </x:c>
      <x:c r="M3" s="16"/>
      <x:c r="N3" s="16"/>
      <x:c r="O3" s="16"/>
      <x:c r="P3" s="16"/>
      <x:c r="Q3" s="16"/>
      <x:c r="R3" s="16"/>
      <x:c r="S3" s="16"/>
      <x:c r="T3" s="16"/>
      <x:c r="U3" s="16"/>
      <x:c r="V3" s="16"/>
      <x:c r="W3" s="16"/>
      <x:c r="X3" s="16"/>
      <x:c r="Y3" s="16"/>
      <x:c r="Z3" s="16"/>
      <x:c r="AA3" s="16"/>
      <x:c r="AB3" s="16"/>
      <x:c r="AC3" s="16"/>
      <x:c r="AD3" s="16"/>
    </x:row>
    <x:row r="4" ht="22.5" customHeight="1">
      <x:c r="A4" s="11" t="n">
        <x:v>3</x:v>
      </x:c>
      <x:c r="B4" s="12" t="str">
        <x:v>FR_73</x:v>
      </x:c>
      <x:c r="C4" s="13" t="str">
        <x:v>The system shall allow a member whose account remains PENDING_VERIFICATION to request a new time-limited verification link.</x:v>
      </x:c>
      <x:c r="D4" s="12" t="str">
        <x:v>US_73</x:v>
      </x:c>
      <x:c r="E4" s="14" t="str">
        <x:v>Request a New Verification Link</x:v>
      </x:c>
      <x:c r="F4" s="13" t="str">
        <x:v>Member with a pending-verification account</x:v>
      </x:c>
      <x:c r="G4" s="13" t="str">
        <x:v>to request a new verification link</x:v>
      </x:c>
      <x:c r="H4" s="13" t="str">
        <x:v>I can complete account activation after the earlier link expires.</x:v>
      </x:c>
      <x:c r="I4" s="13" t="str">
        <x:v>As a member with a pending-verification account, I want to request a new verification link so that I can complete account activation after the earlier link expires.</x:v>
      </x:c>
      <x:c r="J4" s="13" t="str">
        <x:v>- A new verification link may be requested using the registered university email address.
- Previously issued tokens remain invalid after expiry or replacement.
- The new link receives a new validity period.
- The response does not reveal whether an unrelated email address is registered.
- Only a secure token hash is stored.</x:v>
      </x:c>
      <x:c r="K4" s="15" t="str">
        <x:v>Low</x:v>
      </x:c>
      <x:c r="L4" s="15" t="str">
        <x:v>To Do</x:v>
      </x:c>
      <x:c r="M4" s="17"/>
      <x:c r="Q4" s="16"/>
      <x:c r="R4" s="16"/>
      <x:c r="S4" s="16"/>
      <x:c r="T4" s="16"/>
      <x:c r="U4" s="16"/>
      <x:c r="V4" s="16"/>
      <x:c r="W4" s="16"/>
      <x:c r="X4" s="16"/>
      <x:c r="Y4" s="16"/>
      <x:c r="Z4" s="16"/>
      <x:c r="AA4" s="16"/>
      <x:c r="AB4" s="16"/>
      <x:c r="AC4" s="16"/>
      <x:c r="AD4" s="16"/>
    </x:row>
    <x:row r="5" ht="22.5" customHeight="1">
      <x:c r="A5" s="11" t="n">
        <x:v>4</x:v>
      </x:c>
      <x:c r="B5" s="12" t="str">
        <x:v>FR_3</x:v>
      </x:c>
      <x:c r="C5" s="13" t="str">
        <x:v>The system shall authenticate an ACTIVE university member using their registered email address and password.</x:v>
      </x:c>
      <x:c r="D5" s="12" t="str">
        <x:v>US_3</x:v>
      </x:c>
      <x:c r="E5" s="14" t="str">
        <x:v>Access My UniConnect Account</x:v>
      </x:c>
      <x:c r="F5" s="13" t="str">
        <x:v>Active university member</x:v>
      </x:c>
      <x:c r="G5" s="13" t="str">
        <x:v>to log in using my registered email address and password</x:v>
      </x:c>
      <x:c r="H5" s="13" t="str">
        <x:v>I can securely access my account</x:v>
      </x:c>
      <x:c r="I5" s="13" t="str">
        <x:v>As a verified university member, I want to log in using my registered email and password, so that I can securely access my account.</x:v>
      </x:c>
      <x:c r="J5" s="13" t="str">
        <x:v>- The login form accepts email and password.
- Valid credentials for an ACTIVE account create an AuthenticatedSession.
- PENDING_VERIFICATION and SUSPENDED accounts are blocked.
- Invalid credentials show a non-disclosing error.
- Every protected request rechecks both session validity and AccountStatus.</x:v>
      </x:c>
      <x:c r="K5" s="15" t="str">
        <x:v>High</x:v>
      </x:c>
      <x:c r="L5" s="15" t="str">
        <x:v>Done</x:v>
      </x:c>
      <x:c r="M5" s="16"/>
      <x:c r="N5" s="16"/>
      <x:c r="O5" s="16"/>
      <x:c r="P5" s="16"/>
      <x:c r="Q5" s="16"/>
      <x:c r="R5" s="16"/>
      <x:c r="S5" s="16"/>
      <x:c r="T5" s="16"/>
      <x:c r="U5" s="16"/>
      <x:c r="V5" s="16"/>
      <x:c r="W5" s="16"/>
      <x:c r="X5" s="16"/>
      <x:c r="Y5" s="16"/>
      <x:c r="Z5" s="16"/>
      <x:c r="AA5" s="16"/>
      <x:c r="AB5" s="16"/>
      <x:c r="AC5" s="16"/>
      <x:c r="AD5" s="16"/>
    </x:row>
    <x:row r="6" ht="22.5" customHeight="1">
      <x:c r="A6" s="11" t="n">
        <x:v>5</x:v>
      </x:c>
      <x:c r="B6" s="12" t="str">
        <x:v>FR_4</x:v>
      </x:c>
      <x:c r="C6" s="13" t="str">
        <x:v>The system shall allow a registered university member to reset a forgotten password through a time-limited email link.</x:v>
      </x:c>
      <x:c r="D6" s="12" t="str">
        <x:v>US_4</x:v>
      </x:c>
      <x:c r="E6" s="14" t="str">
        <x:v>Recover Forgotten Account Access</x:v>
      </x:c>
      <x:c r="F6" s="13" t="str">
        <x:v>Registered University Member</x:v>
      </x:c>
      <x:c r="G6" s="13" t="str">
        <x:v>to reset my forgotten password</x:v>
      </x:c>
      <x:c r="H6" s="13" t="str">
        <x:v>recover access to my account without administration assistance.</x:v>
      </x:c>
      <x:c r="I6" s="13" t="str">
        <x:v>As a registered university member, I want to reset my forgotten password, so that I can recover access to my account without administration assistance.</x:v>
      </x:c>
      <x:c r="J6" s="13" t="str">
        <x:v>- A reset link can be requested using a registered email address.
- A time-limited, single-use link is sent.
- The new password must satisfy password rules.
- Invalid, expired, or already-used links are rejected.
- The new password hash replaces the previous password hash.
- Only a secure reset-token hash is stored.</x:v>
      </x:c>
      <x:c r="K6" s="15" t="str">
        <x:v>High</x:v>
      </x:c>
      <x:c r="L6" s="15" t="str">
        <x:v>Done</x:v>
      </x:c>
      <x:c r="M6" s="16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/>
    </x:row>
    <x:row r="7" ht="22.5" customHeight="1">
      <x:c r="A7" s="11" t="n">
        <x:v>6</x:v>
      </x:c>
      <x:c r="B7" s="12" t="str">
        <x:v>FR_5</x:v>
      </x:c>
      <x:c r="C7" s="13" t="str">
        <x:v>The system shall show functions appropriate to the authenticated user's PlatformRole and selected ActiveContext without treating the context as stored authority.</x:v>
      </x:c>
      <x:c r="D7" s="12" t="str">
        <x:v>US_5.1</x:v>
      </x:c>
      <x:c r="E7" s="14" t="str">
        <x:v>View Role-Relevant Functions</x:v>
      </x:c>
      <x:c r="F7" s="13" t="str">
        <x:v>Registered University Member</x:v>
      </x:c>
      <x:c r="G7" s="13" t="str">
        <x:v>to see only the platform functions relevant for my role</x:v>
      </x:c>
      <x:c r="H7" s="13" t="str">
        <x:v>I can avoid inaccessible actions.</x:v>
      </x:c>
      <x:c r="I7" s="13" t="str">
        <x:v>As a registered member, I want to see only the platform functions relevant for my role, so that I can avoid inaccessible actions.</x:v>
      </x:c>
      <x:c r="J7" s="13" t="str">
        <x:v>- PERSONAL context shows functions permitted by the user's PlatformRole.
- CLUB context is shown only for a current ClubRoleAssignment.
- SYSTEM_ADMINISTRATION context is shown only for an ACTIVE SYSTEM_ADMIN.
- Functions unavailable in the selected context are hidden or disabled.
- Changing context refreshes visible navigation and actions.
- Server-side authorization is still enforced by FR_74.</x:v>
      </x:c>
      <x:c r="K7" s="15" t="str">
        <x:v>High</x:v>
      </x:c>
      <x:c r="L7" s="15" t="str">
        <x:v>In Progress</x:v>
      </x:c>
      <x:c r="M7" s="16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/>
    </x:row>
    <x:row r="8" ht="22.5" customHeight="1">
      <x:c r="A8" s="11" t="n">
        <x:v>7</x:v>
      </x:c>
      <x:c r="B8" s="12" t="str">
        <x:v>FR_74</x:v>
      </x:c>
      <x:c r="C8" s="13" t="str">
        <x:v>The system shall authorize every protected club action using the ACTIVE account, PlatformRole, selected context, and current ClubRoleAssignment of the acting user.</x:v>
      </x:c>
      <x:c r="D8" s="12" t="str">
        <x:v>US_74</x:v>
      </x:c>
      <x:c r="E8" s="14" t="str">
        <x:v>Enforce Club-Scoped Authorization</x:v>
      </x:c>
      <x:c r="F8" s="13" t="str">
        <x:v>Club operator</x:v>
      </x:c>
      <x:c r="G8" s="13" t="str">
        <x:v>club-management permissions to apply only to the club and role currently assigned to me</x:v>
      </x:c>
      <x:c r="H8" s="13" t="str">
        <x:v>another club's resources cannot be changed accidentally or maliciously.</x:v>
      </x:c>
      <x:c r="I8" s="18" t="str">
        <x:v>As a club operator, I want club-management permissions to apply only to the club and role currently assigned to me so that another club's resources cannot be changed accidentally or maliciously.</x:v>
      </x:c>
      <x:c r="J8" s="13" t="str">
        <x:v>- AccountStatus must be ACTIVE.
- A CLUB context must reference a ClubRoleAssignment whose revokedAt is empty.
- The assignment's Club must match the requested Club.
- The requested action must be permitted by the assignment's ClubRole.
- Requests targeting unrelated clubs are rejected.
- Club actions record the acting User, assignment, and Club.</x:v>
      </x:c>
      <x:c r="K8" s="15" t="str">
        <x:v>High</x:v>
      </x:c>
      <x:c r="L8" s="15" t="str">
        <x:v>In Progress</x:v>
      </x:c>
      <x:c r="M8" s="16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/>
      <x:c r="Z8" s="16"/>
      <x:c r="AA8" s="16"/>
      <x:c r="AB8" s="16"/>
      <x:c r="AC8" s="16"/>
      <x:c r="AD8" s="16"/>
    </x:row>
    <x:row r="9" ht="22.5" customHeight="1">
      <x:c r="A9" s="11" t="n">
        <x:v>8</x:v>
      </x:c>
      <x:c r="B9" s="12" t="str">
        <x:v>FR_6</x:v>
      </x:c>
      <x:c r="C9" s="13" t="str">
        <x:v>The system shall allow a Student to create a personal profile containing academic information, skills, and interests.</x:v>
      </x:c>
      <x:c r="D9" s="12" t="str">
        <x:v>US_6.1</x:v>
      </x:c>
      <x:c r="E9" s="14" t="str">
        <x:v>Present My Collaboration Strengths</x:v>
      </x:c>
      <x:c r="F9" s="13" t="str">
        <x:v>Student</x:v>
      </x:c>
      <x:c r="G9" s="13" t="str">
        <x:v>to highlight my academic background and skills</x:v>
      </x:c>
      <x:c r="H9" s="13" t="str">
        <x:v>I can present my academic background and collaboration strengths.</x:v>
      </x:c>
      <x:c r="I9" s="13" t="str">
        <x:v>As a Student, I want to highlight my academic background and skills so that suitable project creators can understand what I could contribute.</x:v>
      </x:c>
      <x:c r="J9" s="13" t="str">
        <x:v>- Name, department, and study year are required.
- A valid Student profile is saved and displayed.
- Multiple skills can be added.
- Multiple interests can be added.
- Skills and interests appear on the profile.
- Invalid or duplicate skill entries are handled according to the configured validation rules. 
- Other authorized users can view the permitted academic and skill information.</x:v>
      </x:c>
      <x:c r="K9" s="15" t="str">
        <x:v>High</x:v>
      </x:c>
      <x:c r="L9" s="15" t="str">
        <x:v>Done</x:v>
      </x:c>
      <x:c r="M9" s="16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/>
      <x:c r="Y9" s="16"/>
      <x:c r="Z9" s="16"/>
      <x:c r="AA9" s="16"/>
      <x:c r="AB9" s="16"/>
      <x:c r="AC9" s="16"/>
      <x:c r="AD9" s="16"/>
    </x:row>
    <x:row r="10" ht="22.5" customHeight="1">
      <x:c r="A10" s="11" t="n">
        <x:v>9</x:v>
      </x:c>
      <x:c r="B10" s="12" t="str">
        <x:v>FR_75</x:v>
      </x:c>
      <x:c r="C10" s="13" t="str">
        <x:v>The system shall allow a Student to update their project and mentorship availability preferences.</x:v>
      </x:c>
      <x:c r="D10" s="12" t="str">
        <x:v>US_75</x:v>
      </x:c>
      <x:c r="E10" s="14" t="str">
        <x:v>Set My Availability Preferences</x:v>
      </x:c>
      <x:c r="F10" s="13" t="str">
        <x:v>Student</x:v>
      </x:c>
      <x:c r="G10" s="13" t="str">
        <x:v>to state whether I am currently open to projects or mentorship </x:v>
      </x:c>
      <x:c r="H10" s="13" t="str">
        <x:v> I receive relevant approaches instead of unsuitable requests.</x:v>
      </x:c>
      <x:c r="I10" s="18" t="str">
        <x:v>As a Student, I want to state whether I am currently open to projects or mentorship so that I receive relevant approaches instead of unsuitable requests.</x:v>
      </x:c>
      <x:c r="J10" s="13" t="str">
        <x:v>- The Student can set project-availability status.
- The Student can set mentorship-availability status.
- Availability changes are saved immediately.
- Availability is shown in relevant teammate or mentor searches.
- Users marked unavailable are excluded when an availability-only filter is applied.</x:v>
      </x:c>
      <x:c r="K10" s="15" t="str">
        <x:v>High</x:v>
      </x:c>
      <x:c r="L10" s="15" t="str">
        <x:v>Done</x:v>
      </x:c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  <x:c r="W10" s="16"/>
      <x:c r="X10" s="16"/>
      <x:c r="Y10" s="16"/>
      <x:c r="Z10" s="16"/>
      <x:c r="AA10" s="16"/>
      <x:c r="AB10" s="16"/>
      <x:c r="AC10" s="16"/>
      <x:c r="AD10" s="16"/>
    </x:row>
    <x:row r="11" ht="22.5" customHeight="1">
      <x:c r="A11" s="11" t="n">
        <x:v>10</x:v>
      </x:c>
      <x:c r="B11" s="12" t="str">
        <x:v>FR_7</x:v>
      </x:c>
      <x:c r="C11" s="13" t="str">
        <x:v>The system shall allow an Alumni member to create a profile containing graduation and professional information.</x:v>
      </x:c>
      <x:c r="D11" s="12" t="str">
        <x:v>US_7.1</x:v>
      </x:c>
      <x:c r="E11" s="14" t="str">
        <x:v>Present My Academic Background</x:v>
      </x:c>
      <x:c r="F11" s="13" t="str">
        <x:v>Alumni Member</x:v>
      </x:c>
      <x:c r="G11" s="13" t="str">
        <x:v> to present my graduation and career background </x:v>
      </x:c>
      <x:c r="H11" s="13" t="str">
        <x:v> students can
evaluate the relevance of my opportunities and guidance.</x:v>
      </x:c>
      <x:c r="I11" s="13" t="str">
        <x:v>As an Alumni member, I want to present my graduation and career background so that students can
evaluate the relevance of my opportunities and guidance.</x:v>
      </x:c>
      <x:c r="J11" s="13" t="str">
        <x:v>- Graduation year and major are required.
- The completed Alumni profile is saved and displayed.
- Company, position, and industry can be added.
- LinkedIn URL is optional.
- Invalid URLs are rejected.
- Saved profile is displayed.</x:v>
      </x:c>
      <x:c r="K11" s="15" t="str">
        <x:v>High</x:v>
      </x:c>
      <x:c r="L11" s="15" t="str">
        <x:v>Done</x:v>
      </x:c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  <x:c r="W11" s="16"/>
      <x:c r="X11" s="16"/>
      <x:c r="Y11" s="16"/>
      <x:c r="Z11" s="16"/>
      <x:c r="AA11" s="16"/>
      <x:c r="AB11" s="16"/>
      <x:c r="AC11" s="16"/>
      <x:c r="AD11" s="16"/>
    </x:row>
    <x:row r="12" ht="22.5" customHeight="1">
      <x:c r="A12" s="11" t="n">
        <x:v>11</x:v>
      </x:c>
      <x:c r="B12" s="12" t="str">
        <x:v>FR_76</x:v>
      </x:c>
      <x:c r="C12" s="13" t="str">
        <x:v>The system shall allow an authenticated member to search and filter permitted Alumni-profile information by company, industry, graduation year, or programme.</x:v>
      </x:c>
      <x:c r="D12" s="12" t="str">
        <x:v>US_76</x:v>
      </x:c>
      <x:c r="E12" s="14" t="str">
        <x:v>Discover Alumni by Professional Background</x:v>
      </x:c>
      <x:c r="F12" s="13" t="str">
        <x:v>Authenticated member</x:v>
      </x:c>
      <x:c r="G12" s="13" t="str">
        <x:v>to discover Alumni by professional or academic background</x:v>
      </x:c>
      <x:c r="H12" s="13" t="str">
        <x:v>I can find people with relevant career insight.</x:v>
      </x:c>
      <x:c r="I12" s="13" t="str">
        <x:v>As an authenticated member, I want to discover Alumni by professional or academic background so that I can find people with relevant career insight.</x:v>
      </x:c>
      <x:c r="J12" s="13" t="str">
        <x:v>- Alumni can be searched by company.
- Alumni can be filtered by industry.
- Alumni can be filtered by graduation year or programme.
- Search results display a relevant profile summary.
- Only profile information permitted by privacy rules is searchable.</x:v>
      </x:c>
      <x:c r="K12" s="15" t="str">
        <x:v>High</x:v>
      </x:c>
      <x:c r="L12" s="15" t="str">
        <x:v>Done</x:v>
      </x:c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  <x:c r="W12" s="16"/>
      <x:c r="X12" s="16"/>
      <x:c r="Y12" s="16"/>
      <x:c r="Z12" s="16"/>
      <x:c r="AA12" s="16"/>
      <x:c r="AB12" s="16"/>
      <x:c r="AC12" s="16"/>
      <x:c r="AD12" s="16"/>
    </x:row>
    <x:row r="13" ht="22.5" customHeight="1">
      <x:c r="A13" s="11" t="n">
        <x:v>12</x:v>
      </x:c>
      <x:c r="B13" s="12" t="str">
        <x:v>FR_8</x:v>
      </x:c>
      <x:c r="C13" s="13" t="str">
        <x:v>The system shall allow an authenticated user to update the editable information in their
personal role-specific profile.</x:v>
      </x:c>
      <x:c r="D13" s="12" t="str">
        <x:v>US_8.1</x:v>
      </x:c>
      <x:c r="E13" s="14" t="str">
        <x:v>Keep My Personal Profile Updated</x:v>
      </x:c>
      <x:c r="F13" s="19" t="str">
        <x:v>Authenticated Member</x:v>
      </x:c>
      <x:c r="G13" s="19" t="str">
        <x:v>to update my profile</x:v>
      </x:c>
      <x:c r="H13" s="19" t="str">
        <x:v>my information stays correct and up-to-date.</x:v>
      </x:c>
      <x:c r="I13" s="13" t="str">
        <x:v>As a member, I want to update my profile, so that my information stays correct and up-to-date.</x:v>
      </x:c>
      <x:c r="J13" s="13" t="str">
        <x:v>- The edit form shows the user's current personal profile values.
- Only fields relevant to the user's role are shown.
- Required personal fields cannot be empty.
- Valid changes are saved.
- Club organizational information is not edited through the personal-profile form.</x:v>
      </x:c>
      <x:c r="K13" s="15" t="str">
        <x:v>Medium</x:v>
      </x:c>
      <x:c r="L13" s="15" t="str">
        <x:v>Done</x:v>
      </x:c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  <x:c r="W13" s="16"/>
      <x:c r="X13" s="16"/>
      <x:c r="Y13" s="16"/>
      <x:c r="Z13" s="16"/>
      <x:c r="AA13" s="16"/>
      <x:c r="AB13" s="16"/>
      <x:c r="AC13" s="16"/>
      <x:c r="AD13" s="16"/>
    </x:row>
    <x:row r="14" ht="22.5" customHeight="1">
      <x:c r="A14" s="11" t="n">
        <x:v>13</x:v>
      </x:c>
      <x:c r="B14" s="12" t="str">
        <x:v>FR_9</x:v>
      </x:c>
      <x:c r="C14" s="13" t="str">
        <x:v>The system shall allow an authenticated user to view the permitted personal-profile
information of another user.</x:v>
      </x:c>
      <x:c r="D14" s="12" t="str">
        <x:v>US_9.1</x:v>
      </x:c>
      <x:c r="E14" s="20" t="str">
        <x:v>Evaluate a potential connection</x:v>
      </x:c>
      <x:c r="F14" s="19" t="str">
        <x:v>Authenticated Member</x:v>
      </x:c>
      <x:c r="G14" s="19" t="str">
        <x:v>to view another member’s profile</x:v>
      </x:c>
      <x:c r="H14" s="19" t="str">
        <x:v>I can learn about them.</x:v>
      </x:c>
      <x:c r="I14" s="13" t="str">
        <x:v>As a member, I want to view another member’s profile, so that I can learn about them.</x:v>
      </x:c>
      <x:c r="J14" s="13" t="str">
        <x:v>- Privacy settings are respected.
- The user's name and PlatformRole are displayed.
- Relevant academic or professional information is shown.
- Connection status is displayed when applicable.
- Shared interests and skills are displayed.
- Private fields remain hidden.</x:v>
      </x:c>
      <x:c r="K14" s="15" t="str">
        <x:v>Medium</x:v>
      </x:c>
      <x:c r="L14" s="15" t="str">
        <x:v>In Progress</x:v>
      </x:c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  <x:c r="W14" s="16"/>
      <x:c r="X14" s="16"/>
      <x:c r="Y14" s="16"/>
      <x:c r="Z14" s="16"/>
      <x:c r="AA14" s="16"/>
      <x:c r="AB14" s="16"/>
      <x:c r="AC14" s="16"/>
      <x:c r="AD14" s="16"/>
    </x:row>
    <x:row r="15" ht="22.5" customHeight="1">
      <x:c r="A15" s="11" t="n">
        <x:v>14</x:v>
      </x:c>
      <x:c r="B15" s="12" t="str">
        <x:v>FR_9</x:v>
      </x:c>
      <x:c r="C15" s="13" t="str">
        <x:v>The system shall allow an authenticated user to view the permitted personal-profile
information of another user.</x:v>
      </x:c>
      <x:c r="D15" s="12" t="str">
        <x:v>US_9.2</x:v>
      </x:c>
      <x:c r="E15" s="14" t="str">
        <x:v>Evaluate a project candidate</x:v>
      </x:c>
      <x:c r="F15" s="19" t="str">
        <x:v>Project Creator reviewing an applicant</x:v>
      </x:c>
      <x:c r="G15" s="19" t="str">
        <x:v>to inspect the applicant's skills and academic background</x:v>
      </x:c>
      <x:c r="H15" s="19" t="str">
        <x:v>I can assess their suitability for my team.</x:v>
      </x:c>
      <x:c r="I15" s="13" t="str">
        <x:v>As a Project Creator reviewing an applicant, I want to inspect the applicant's skills and academic background so that I can assess their suitability for my team.</x:v>
      </x:c>
      <x:c r="J15" s="13" t="str">
        <x:v>- The applicant's relevant skills are displayed.
- The applicant's department and study year are displayed when permitted.
- The application message is accessible from the project-application workflow.
- Only the creator of the relevant project can access applicant-review details.
- The profile view does not expose unrelated private information.</x:v>
      </x:c>
      <x:c r="K15" s="15" t="str">
        <x:v>Medium</x:v>
      </x:c>
      <x:c r="L15" s="15" t="str">
        <x:v>In Progress</x:v>
      </x:c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  <x:c r="W15" s="16"/>
      <x:c r="X15" s="16"/>
      <x:c r="Y15" s="16"/>
      <x:c r="Z15" s="16"/>
      <x:c r="AA15" s="16"/>
      <x:c r="AB15" s="16"/>
      <x:c r="AC15" s="16"/>
      <x:c r="AD15" s="16"/>
    </x:row>
    <x:row r="16" ht="22.5" customHeight="1">
      <x:c r="A16" s="11" t="n">
        <x:v>15</x:v>
      </x:c>
      <x:c r="B16" s="12" t="str">
        <x:v>FR_10</x:v>
      </x:c>
      <x:c r="C16" s="13" t="str">
        <x:v>The system shall allow an ACTIVE SYSTEM_ADMIN to create a university Club and appoint its first CLUB_ADMINISTRATOR atomically.</x:v>
      </x:c>
      <x:c r="D16" s="12" t="str">
        <x:v>US_10</x:v>
      </x:c>
      <x:c r="E16" s="14" t="str">
        <x:v>Create Club Profile</x:v>
      </x:c>
      <x:c r="F16" s="19" t="str">
        <x:v>System Admin</x:v>
      </x:c>
      <x:c r="G16" s="19" t="str">
        <x:v>to create a university Club and appoint its first administrator</x:v>
      </x:c>
      <x:c r="H16" s="19" t="str">
        <x:v>the Club begins operation with exactly one accountable administrator.</x:v>
      </x:c>
      <x:c r="I16" s="13" t="str">
        <x:v>As a System Admin, I want to create a university Club and appoint its first administrator so that the Club begins operation with exactly one accountable administrator.</x:v>
      </x:c>
      <x:c r="J16" s="13" t="str">
        <x:v>- Only an ACTIVE SYSTEM_ADMIN may perform the operation.
- Club name, description, and category are required.
- Each Club receives a unique Club ID; duplicate names are rejected.
- The Club is an entity independent of every User account.
- The selected administrator must be an ACTIVE STUDENT and must not currently administer another Club.
- Club creation and the first administrator assignment succeed or fail as one transaction.
- A successfully created Club has ClubStatus = ACTIVE and exactly one current administrator assignment.</x:v>
      </x:c>
      <x:c r="K16" s="15" t="str">
        <x:v>High</x:v>
      </x:c>
      <x:c r="L16" s="15" t="str">
        <x:v>To Do</x:v>
      </x:c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  <x:c r="W16" s="16"/>
      <x:c r="X16" s="16"/>
      <x:c r="Y16" s="16"/>
      <x:c r="Z16" s="16"/>
      <x:c r="AA16" s="16"/>
      <x:c r="AB16" s="16"/>
      <x:c r="AC16" s="16"/>
      <x:c r="AD16" s="16"/>
    </x:row>
    <x:row r="17" ht="22.5" customHeight="1">
      <x:c r="A17" s="11" t="n">
        <x:v>16</x:v>
      </x:c>
      <x:c r="B17" s="12" t="str">
        <x:v>FR_11</x:v>
      </x:c>
      <x:c r="C17" s="13" t="str">
        <x:v>The system shall allow an authenticated user to view the
profile of a university club.</x:v>
      </x:c>
      <x:c r="D17" s="12" t="str">
        <x:v>US_11</x:v>
      </x:c>
      <x:c r="E17" s="14" t="str">
        <x:v>View Club Profile</x:v>
      </x:c>
      <x:c r="F17" s="19" t="str">
        <x:v>Authenticated User</x:v>
      </x:c>
      <x:c r="G17" s="19" t="str">
        <x:v>to view a club profile</x:v>
      </x:c>
      <x:c r="H17" s="19" t="str">
        <x:v>I can learn about the club and its activities.</x:v>
      </x:c>
      <x:c r="I17" s="13" t="str">
        <x:v>As an Authenticated User, I want to view a club profile
so that I can learn about the club and its activities.</x:v>
      </x:c>
      <x:c r="J17" s="13" t="str">
        <x:v>- The club name, description, category, and logo are
displayed.
- Club contact information is displayed when available.
- Only active clubs are visible to general users.
- The club profile displays its published
announcements.
- Selecting a club from the club directory opens its
profile.</x:v>
      </x:c>
      <x:c r="K17" s="15" t="str">
        <x:v>Medium</x:v>
      </x:c>
      <x:c r="L17" s="15" t="str">
        <x:v>To Do</x:v>
      </x:c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/>
      <x:c r="X17" s="16"/>
      <x:c r="Y17" s="16"/>
      <x:c r="Z17" s="16"/>
      <x:c r="AA17" s="16"/>
      <x:c r="AB17" s="16"/>
      <x:c r="AC17" s="16"/>
      <x:c r="AD17" s="16"/>
    </x:row>
    <x:row r="18" ht="22.5" customHeight="1">
      <x:c r="A18" s="11" t="n">
        <x:v>17</x:v>
      </x:c>
      <x:c r="B18" s="12" t="str">
        <x:v>FR_12</x:v>
      </x:c>
      <x:c r="C18" s="13" t="str">
        <x:v>The system shall assign the selected ACTIVE STUDENT as the initial CLUB_ADMINISTRATOR within the atomic Club-creation operation defined by FR_10.</x:v>
      </x:c>
      <x:c r="D18" s="12" t="str">
        <x:v>US_12</x:v>
      </x:c>
      <x:c r="E18" s="14" t="str">
        <x:v>Assign Initial Club Admin</x:v>
      </x:c>
      <x:c r="F18" s="19" t="str">
        <x:v>System Admin</x:v>
      </x:c>
      <x:c r="G18" s="19" t="str">
        <x:v>to assign a verified user as the initial Club Admin</x:v>
      </x:c>
      <x:c r="H18" s="19" t="str">
        <x:v>the selected club can be
managed by an authorized person</x:v>
      </x:c>
      <x:c r="I18" s="13" t="str">
        <x:v>As a System Admin, I want to assign a verified user as
the initial Club Admin so that the selected club can be managed by an authorized person.</x:v>
      </x:c>
      <x:c r="J18" s="13" t="str">
        <x:v>- The selected User has PlatformRole = STUDENT and AccountStatus = ACTIVE.
- The User has no other current CLUB_ADMINISTRATOR assignment.
- The new Club does not already have a current administrator assignment.
- The assignment identifies the created Club and records the assigning SYSTEM_ADMIN and timestamp.
- The assigned User retains normal Student access.
- The assignment and Club creation commit atomically.</x:v>
      </x:c>
      <x:c r="K18" s="15" t="str">
        <x:v>High</x:v>
      </x:c>
      <x:c r="L18" s="15" t="str">
        <x:v>To Do</x:v>
      </x:c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  <x:c r="W18" s="16"/>
      <x:c r="X18" s="16"/>
      <x:c r="Y18" s="16"/>
      <x:c r="Z18" s="16"/>
      <x:c r="AA18" s="16"/>
      <x:c r="AB18" s="16"/>
      <x:c r="AC18" s="16"/>
      <x:c r="AD18" s="16"/>
    </x:row>
    <x:row r="19" ht="22.5" customHeight="1">
      <x:c r="A19" s="11" t="n">
        <x:v>18</x:v>
      </x:c>
      <x:c r="B19" s="12" t="str">
        <x:v>FR_13</x:v>
      </x:c>
      <x:c r="C19" s="13" t="str">
        <x:v>The system shall allow the current CLUB_ADMINISTRATOR of a Club to assign an ACTIVE STUDENT as a REPRESENTATIVE of that Club.</x:v>
      </x:c>
      <x:c r="D19" s="12" t="str">
        <x:v>US_13</x:v>
      </x:c>
      <x:c r="E19" s="14" t="str">
        <x:v>Add Club Representative</x:v>
      </x:c>
      <x:c r="F19" s="19" t="str">
        <x:v>Club Admin</x:v>
      </x:c>
      <x:c r="G19" s="19" t="str">
        <x:v>to add a verified user as a Club Representative</x:v>
      </x:c>
      <x:c r="H19" s="19" t="str">
        <x:v>they can help manage club announcements</x:v>
      </x:c>
      <x:c r="I19" s="13" t="str">
        <x:v>As a Club Admin, I want to add a verified user as a Club
Representative so that they can help manage club
announcements.</x:v>
      </x:c>
      <x:c r="J19" s="13" t="str">
        <x:v>- The requester has the Club's current CLUB_ADMINISTRATOR assignment.
- The assignee has PlatformRole = STUDENT and AccountStatus = ACTIVE.
- The assignee does not hold another current role for the same Club.
- A current duplicate representative assignment is rejected.
- The representative receives authority only for the assigned Club and cannot assign administrators.
- The assignment records the grantor and timestamp and triggers one notification event.</x:v>
      </x:c>
      <x:c r="K19" s="15" t="str">
        <x:v>Medium</x:v>
      </x:c>
      <x:c r="L19" s="15" t="str">
        <x:v>To Do</x:v>
      </x:c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  <x:c r="W19" s="16"/>
      <x:c r="X19" s="16"/>
      <x:c r="Y19" s="16"/>
      <x:c r="Z19" s="16"/>
      <x:c r="AA19" s="16"/>
      <x:c r="AB19" s="16"/>
      <x:c r="AC19" s="16"/>
      <x:c r="AD19" s="16"/>
    </x:row>
    <x:row r="20" ht="22.5" customHeight="1">
      <x:c r="A20" s="11" t="n">
        <x:v>19</x:v>
      </x:c>
      <x:c r="B20" s="12" t="str">
        <x:v>FR_14</x:v>
      </x:c>
      <x:c r="C20" s="13" t="str">
        <x:v>The system shall allow a Club Admin to view the
authorized users assigned to their club.</x:v>
      </x:c>
      <x:c r="D20" s="12" t="str">
        <x:v>US_14</x:v>
      </x:c>
      <x:c r="E20" s="14" t="str">
        <x:v>View Club Operators</x:v>
      </x:c>
      <x:c r="F20" s="19" t="str">
        <x:v>Club Admin</x:v>
      </x:c>
      <x:c r="G20" s="19" t="str">
        <x:v>to view the users authorized to operate my club</x:v>
      </x:c>
      <x:c r="H20" s="19" t="str">
        <x:v>I can monitor who has club-management access</x:v>
      </x:c>
      <x:c r="I20" s="13" t="str">
        <x:v>As a Club Admin, I want to view the users authorized to
operate my club so that I can monitor who has club-
management access.</x:v>
      </x:c>
      <x:c r="J20" s="13" t="str">
        <x:v>- Only the Club's current CLUB_ADMINISTRATOR may view the operator list.
- Each row displays the assignee and ClubRole.
- Current status is derived from revokedAt being empty.
- Assignment and revocation dates are displayed.
- Assignments for unrelated Clubs do not appear.
- Revoked assignments are clearly identified or excluded by the selected filter.</x:v>
      </x:c>
      <x:c r="K20" s="15" t="str">
        <x:v>Medium</x:v>
      </x:c>
      <x:c r="L20" s="15" t="str">
        <x:v>To Do</x:v>
      </x:c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  <x:c r="W20" s="16"/>
      <x:c r="X20" s="16"/>
      <x:c r="Y20" s="16"/>
      <x:c r="Z20" s="16"/>
      <x:c r="AA20" s="16"/>
      <x:c r="AB20" s="16"/>
      <x:c r="AC20" s="16"/>
      <x:c r="AD20" s="16"/>
    </x:row>
    <x:row r="21" ht="22.5" customHeight="1">
      <x:c r="A21" s="11" t="n">
        <x:v>20</x:v>
      </x:c>
      <x:c r="B21" s="12" t="str">
        <x:v>FR_15</x:v>
      </x:c>
      <x:c r="C21" s="13" t="str">
        <x:v>The system shall allow a Club Admin to revoke a Club
Representative's access to their assigned club.</x:v>
      </x:c>
      <x:c r="D21" s="12" t="str">
        <x:v>US_15</x:v>
      </x:c>
      <x:c r="E21" s="14" t="str">
        <x:v>Remove Club Representative</x:v>
      </x:c>
      <x:c r="F21" s="19" t="str">
        <x:v>Club Admin</x:v>
      </x:c>
      <x:c r="G21" s="19" t="str">
        <x:v>to remove a Club Representative</x:v>
      </x:c>
      <x:c r="H21" s="19" t="str">
        <x:v>former representatives can no longer manage club announcements</x:v>
      </x:c>
      <x:c r="I21" s="13" t="str">
        <x:v>As a Club Admin, I want to remove a Club
Representative so that former representatives can no
longer manage club announcements.</x:v>
      </x:c>
      <x:c r="J21" s="13" t="str">
        <x:v>- The requester has the Club's current CLUB_ADMINISTRATOR assignment.
- The target REPRESENTATIVE assignment is current (revokedAt is empty).
- Revocation requires confirmation and sets revokedAt.
- The representative immediately loses that Club context and management authority.
- Personal Student access and other Club assignments remain unchanged.
- The revocation records the responsible administrator and timestamp.</x:v>
      </x:c>
      <x:c r="K21" s="15" t="str">
        <x:v>High</x:v>
      </x:c>
      <x:c r="L21" s="15" t="str">
        <x:v>To Do</x:v>
      </x:c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  <x:c r="W21" s="16"/>
      <x:c r="X21" s="16"/>
      <x:c r="Y21" s="16"/>
      <x:c r="Z21" s="16"/>
      <x:c r="AA21" s="16"/>
      <x:c r="AB21" s="16"/>
      <x:c r="AC21" s="16"/>
      <x:c r="AD21" s="16"/>
    </x:row>
    <x:row r="22" ht="22.5" customHeight="1">
      <x:c r="A22" s="11" t="n">
        <x:v>21</x:v>
      </x:c>
      <x:c r="B22" s="12" t="str">
        <x:v>FR_16</x:v>
      </x:c>
      <x:c r="C22" s="13" t="str">
        <x:v>The system shall allow an ACTIVE SYSTEM_ADMIN to replace a Club's current CLUB_ADMINISTRATOR with an eligible ACTIVE STUDENT.</x:v>
      </x:c>
      <x:c r="D22" s="12" t="str">
        <x:v>US_16</x:v>
      </x:c>
      <x:c r="E22" s="14" t="str">
        <x:v>Replace Club Administrator</x:v>
      </x:c>
      <x:c r="F22" s="19" t="str">
        <x:v>System Admin</x:v>
      </x:c>
      <x:c r="G22" s="19" t="str">
        <x:v>to replace a Club's current administrator</x:v>
      </x:c>
      <x:c r="H22" s="19" t="str">
        <x:v>the Club remains continuously managed by exactly one authorized administrator.</x:v>
      </x:c>
      <x:c r="I22" s="13" t="str">
        <x:v>As a System Admin, I want to replace a Club's current administrator so that the Club remains continuously managed by exactly one authorized administrator.</x:v>
      </x:c>
      <x:c r="J22" s="13" t="str">
        <x:v>- Only an ACTIVE SYSTEM_ADMIN may perform the replacement.
- The Club is not REMOVED and has one current administrator assignment.
- The replacement has PlatformRole = STUDENT, AccountStatus = ACTIVE, and no other current administrator assignment.
- The old assignment is revoked and the replacement assignment is created atomically.
- The old Club context disappears and the new one becomes available.
- Normal Student access remains unchanged.
- The replacement is recorded in immutable audit history.</x:v>
      </x:c>
      <x:c r="K22" s="15" t="str">
        <x:v>High</x:v>
      </x:c>
      <x:c r="L22" s="15" t="str">
        <x:v>To Do</x:v>
      </x:c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  <x:c r="W22" s="16"/>
      <x:c r="X22" s="16"/>
      <x:c r="Y22" s="16"/>
      <x:c r="Z22" s="16"/>
      <x:c r="AA22" s="16"/>
      <x:c r="AB22" s="16"/>
      <x:c r="AC22" s="16"/>
      <x:c r="AD22" s="16"/>
    </x:row>
    <x:row r="23" ht="22.5" customHeight="1">
      <x:c r="A23" s="11" t="n">
        <x:v>22</x:v>
      </x:c>
      <x:c r="B23" s="12" t="str">
        <x:v>FR_17</x:v>
      </x:c>
      <x:c r="C23" s="13" t="str">
        <x:v>The system shall determine the available dashboard
contexts for an authenticated user after login.</x:v>
      </x:c>
      <x:c r="D23" s="12" t="str">
        <x:v>US_17</x:v>
      </x:c>
      <x:c r="E23" s="14" t="str">
        <x:v>Detect Available Dashboards</x:v>
      </x:c>
      <x:c r="F23" s="19" t="str">
        <x:v>Authenticated User</x:v>
      </x:c>
      <x:c r="G23" s="19" t="str">
        <x:v>to identify my available dashboards</x:v>
      </x:c>
      <x:c r="H23" s="19" t="str">
        <x:v>I can access the roles
assigned to me.</x:v>
      </x:c>
      <x:c r="I23" s="13" t="str">
        <x:v>As an Authenticated User, I want the system to identify
my available dashboards so that I can access the roles
assigned to me.</x:v>
      </x:c>
      <x:c r="J23" s="13" t="str">
        <x:v>- Available contexts are calculated only after successful authentication.
- PERSONAL context is available according to PlatformRole.
- Every ClubRoleAssignment with revokedAt empty produces one CLUB context.
- Revoked assignments are excluded; there is no separate expired assignment state.
- SYSTEM_ADMINISTRATION context is available only to an ACTIVE SYSTEM_ADMIN.
- Each CLUB context identifies the Club and assigned ClubRole.</x:v>
      </x:c>
      <x:c r="K23" s="15" t="str">
        <x:v>High</x:v>
      </x:c>
      <x:c r="L23" s="15" t="str">
        <x:v>To Do</x:v>
      </x:c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  <x:c r="W23" s="16"/>
      <x:c r="X23" s="16"/>
      <x:c r="Y23" s="16"/>
      <x:c r="Z23" s="16"/>
      <x:c r="AA23" s="16"/>
      <x:c r="AB23" s="16"/>
      <x:c r="AC23" s="16"/>
      <x:c r="AD23" s="16"/>
    </x:row>
    <x:row r="24" ht="22.5" customHeight="1">
      <x:c r="A24" s="11" t="n">
        <x:v>23</x:v>
      </x:c>
      <x:c r="B24" s="12" t="str">
        <x:v>FR_18</x:v>
      </x:c>
      <x:c r="C24" s="13" t="str">
        <x:v>The system shall allow a user with multiple available contexts to select the ActiveContext for the current AuthenticatedSession.</x:v>
      </x:c>
      <x:c r="D24" s="12" t="str">
        <x:v>US_18</x:v>
      </x:c>
      <x:c r="E24" s="14" t="str">
        <x:v>Select Dashboard Context</x:v>
      </x:c>
      <x:c r="F24" s="19" t="str">
        <x:v>User with multiple available contexts</x:v>
      </x:c>
      <x:c r="G24" s="19" t="str">
        <x:v>to choose my active dashboard </x:v>
      </x:c>
      <x:c r="H24" s="19" t="str">
        <x:v>I can access the
functions relevant to my current task.</x:v>
      </x:c>
      <x:c r="I24" s="13" t="str">
        <x:v>As a User with Student and Club responsibilities, I want
to choose my active dashboard so that I can access the
functions relevant to my current task.</x:v>
      </x:c>
      <x:c r="J24" s="13" t="str">
        <x:v>- The selection screen appears when more than one context is available.
- PERSONAL, eligible CLUB, and eligible SYSTEM_ADMINISTRATION options are shown as applicable.
- Selecting a CLUB context requires its current ClubRoleAssignment.
- The selected context is session-scoped and does not grant new authority.
- The User does not re-enter the password.</x:v>
      </x:c>
      <x:c r="K24" s="15" t="str">
        <x:v>High</x:v>
      </x:c>
      <x:c r="L24" s="15" t="str">
        <x:v>To Do</x:v>
      </x:c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  <x:c r="W24" s="16"/>
      <x:c r="X24" s="16"/>
      <x:c r="Y24" s="16"/>
      <x:c r="Z24" s="16"/>
      <x:c r="AA24" s="16"/>
      <x:c r="AB24" s="16"/>
      <x:c r="AC24" s="16"/>
      <x:c r="AD24" s="16"/>
    </x:row>
    <x:row r="25" ht="22.5" customHeight="1">
      <x:c r="A25" s="11" t="n">
        <x:v>24</x:v>
      </x:c>
      <x:c r="B25" s="12" t="str">
        <x:v>FR_19</x:v>
      </x:c>
      <x:c r="C25" s="13" t="str">
        <x:v>The system shall allow a user to switch among their currently available ActiveContexts without authenticating again.</x:v>
      </x:c>
      <x:c r="D25" s="12" t="str">
        <x:v>US_19</x:v>
      </x:c>
      <x:c r="E25" s="14" t="str">
        <x:v>Switch Dashboard Context</x:v>
      </x:c>
      <x:c r="F25" s="19" t="str">
        <x:v>User with multiple responsibilities</x:v>
      </x:c>
      <x:c r="G25" s="19" t="str">
        <x:v>switch dashboards without logging in again</x:v>
      </x:c>
      <x:c r="H25" s="19" t="str">
        <x:v>I can move
efficiently between Student and Club activities.</x:v>
      </x:c>
      <x:c r="I25" s="13" t="str">
        <x:v>As a User with multiple responsibilities, I want to switch
dashboards without logging in again so that I can move
efficiently between Student and Club activities.</x:v>
      </x:c>
      <x:c r="J25" s="13" t="str">
        <x:v>- A context-switching option is available in a valid AuthenticatedSession.
- Only contexts currently authorized for the User can be selected.
- PERSONAL and CLUB contexts display their permitted functions; SYSTEM_ADMINISTRATION is shown only when eligible.
- The AuthenticatedSession remains active during the switch.
- A revoked ClubRoleAssignment immediately removes its CLUB context.
- Every protected action still revalidates AccountStatus and authority.</x:v>
      </x:c>
      <x:c r="K25" s="15" t="str">
        <x:v>High</x:v>
      </x:c>
      <x:c r="L25" s="15" t="str">
        <x:v>To Do</x:v>
      </x:c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  <x:c r="W25" s="16"/>
      <x:c r="X25" s="16"/>
      <x:c r="Y25" s="16"/>
      <x:c r="Z25" s="16"/>
      <x:c r="AA25" s="16"/>
      <x:c r="AB25" s="16"/>
      <x:c r="AC25" s="16"/>
      <x:c r="AD25" s="16"/>
    </x:row>
    <x:row r="26" ht="22.5" customHeight="1">
      <x:c r="A26" s="11" t="n">
        <x:v>25</x:v>
      </x:c>
      <x:c r="B26" s="12" t="str">
        <x:v>FR_20</x:v>
      </x:c>
      <x:c r="C26" s="13" t="str">
        <x:v>The system shall allow an authorized Club Administrator or Representative to create a priority-based announcement for their assigned Club and either save it as an unpublished draft or publish it directly.</x:v>
      </x:c>
      <x:c r="D26" s="12" t="str">
        <x:v>US_20</x:v>
      </x:c>
      <x:c r="E26" s="14" t="str">
        <x:v>Create a Club Announcement</x:v>
      </x:c>
      <x:c r="F26" s="19" t="str">
        <x:v>Authorized Club operator</x:v>
      </x:c>
      <x:c r="G26" s="19" t="str">
        <x:v>to create a Club announcement as a draft or publish it directly</x:v>
      </x:c>
      <x:c r="H26" s="19" t="str">
        <x:v>I can prepare accurate Club updates and decide when they become public</x:v>
      </x:c>
      <x:c r="I26" s="13" t="str">
        <x:v>As an authorized Club operator, I want to create a Club announcement as a draft or publish it directly so that I can prepare accurate updates and control when they become public.</x:v>
      </x:c>
      <x:c r="J26" s="13" t="str">
        <x:v>- The author is ACTIVE and has a current CLUB_ADMINISTRATOR or REPRESENTATIVE assignment for the selected Club.
- ClubStatus is ACTIVE.
- Title, content, and priority are valid.
- Priority is NORMAL, IMPORTANT, or URGENT.
- The Announcement belongs to exactly one Club and records the exact authoring assignment.
- The author may choose UNPUBLISHED or PUBLISHED.
- A directly published announcement records publishedAt and becomes publicly visible.
- An unpublished draft is visible only to authorized operators of its Club.
- Unauthorized or unrelated-Club creation is rejected.</x:v>
      </x:c>
      <x:c r="K26" s="15" t="str">
        <x:v>High</x:v>
      </x:c>
      <x:c r="L26" s="15" t="str">
        <x:v>To Do</x:v>
      </x:c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  <x:c r="W26" s="16"/>
      <x:c r="X26" s="16"/>
      <x:c r="Y26" s="16"/>
      <x:c r="Z26" s="16"/>
      <x:c r="AA26" s="16"/>
      <x:c r="AB26" s="16"/>
      <x:c r="AC26" s="16"/>
      <x:c r="AD26" s="16"/>
    </x:row>
    <x:row r="27" ht="22.5" customHeight="1">
      <x:c r="A27" s="11" t="n">
        <x:v>26</x:v>
      </x:c>
      <x:c r="B27" s="12" t="str">
        <x:v>FR_21</x:v>
      </x:c>
      <x:c r="C27" s="13" t="str">
        <x:v>The system shall allow an authorized Club Operator to
update a club announcement they are permitted to
manage.</x:v>
      </x:c>
      <x:c r="D27" s="12" t="str">
        <x:v>US_21</x:v>
      </x:c>
      <x:c r="E27" s="14" t="str">
        <x:v>Edit Club Announcement</x:v>
      </x:c>
      <x:c r="F27" s="19" t="str">
        <x:v>Authorized Club Operator</x:v>
      </x:c>
      <x:c r="G27" s="19" t="str">
        <x:v>to edit a club announcement </x:v>
      </x:c>
      <x:c r="H27" s="19" t="str">
        <x:v>incorrect or outdated information
can be corrected.</x:v>
      </x:c>
      <x:c r="I27" s="13" t="str">
        <x:v>As an Authorized Club Operator, I want to edit a club
announcement so that incorrect or outdated informationcan be corrected.</x:v>
      </x:c>
      <x:c r="J27" s="13" t="str">
        <x:v>- The User is ACTIVE and has a current role assignment in the Announcement's Club.
- A REPRESENTATIVE may edit only announcements authored through that representative's own assignment.
- A CLUB_ADMINISTRATOR may edit any announcement belonging to the Club they administer.
- UNPUBLISHED and PUBLISHED announcements may be edited.
- Required fields remain valid.
- updatedAt records the modification time.
- Published changes appear publicly; draft changes remain private.
- EXPIRED or REMOVED announcements cannot be edited through this operation.</x:v>
      </x:c>
      <x:c r="K27" s="15" t="str">
        <x:v>High</x:v>
      </x:c>
      <x:c r="L27" s="15" t="str">
        <x:v>To Do</x:v>
      </x:c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  <x:c r="W27" s="16"/>
      <x:c r="X27" s="16"/>
      <x:c r="Y27" s="16"/>
      <x:c r="Z27" s="16"/>
      <x:c r="AA27" s="16"/>
      <x:c r="AB27" s="16"/>
      <x:c r="AC27" s="16"/>
      <x:c r="AD27" s="16"/>
    </x:row>
    <x:row r="28" ht="22.5" customHeight="1">
      <x:c r="A28" s="11" t="n">
        <x:v>27</x:v>
      </x:c>
      <x:c r="B28" s="12" t="str">
        <x:v>FR_22</x:v>
      </x:c>
      <x:c r="C28" s="13" t="str">
        <x:v>The system shall allow an authorized Club operator to remove an announcement they are permitted to manage while preserving audit history.</x:v>
      </x:c>
      <x:c r="D28" s="12" t="str">
        <x:v>US_22</x:v>
      </x:c>
      <x:c r="E28" s="14" t="str">
        <x:v>Delete Club Announcement</x:v>
      </x:c>
      <x:c r="F28" s="19" t="str">
        <x:v>Authorized Club Operator</x:v>
      </x:c>
      <x:c r="G28" s="19" t="str">
        <x:v>to delete an obsolete club announcement</x:v>
      </x:c>
      <x:c r="H28" s="19" t="str">
        <x:v>Students do not see outdated information.</x:v>
      </x:c>
      <x:c r="I28" s="13" t="str">
        <x:v>As an Authorized Club Operator, I want to delete an
obsolete club announcement so that Students do not see
outdated information.</x:v>
      </x:c>
      <x:c r="J28" s="13" t="str">
        <x:v>- The User is ACTIVE and has a current role assignment in the Announcement's Club.
- A REPRESENTATIVE may remove only announcements authored through that representative's own assignment.
- A CLUB_ADMINISTRATOR may remove any announcement belonging to the Club they administer.
- Removal requires confirmation and changes the Announcement status to REMOVED.
- Removed announcements are hidden from the public feed.
- The action and reason are recorded in immutable audit history.</x:v>
      </x:c>
      <x:c r="K28" s="15" t="str">
        <x:v>High</x:v>
      </x:c>
      <x:c r="L28" s="15" t="str">
        <x:v>To Do</x:v>
      </x:c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  <x:c r="W28" s="16"/>
      <x:c r="X28" s="16"/>
      <x:c r="Y28" s="16"/>
      <x:c r="Z28" s="16"/>
      <x:c r="AA28" s="16"/>
      <x:c r="AB28" s="16"/>
      <x:c r="AC28" s="16"/>
      <x:c r="AD28" s="16"/>
    </x:row>
    <x:row r="29" ht="22.5" customHeight="1">
      <x:c r="A29" s="11" t="n">
        <x:v>28</x:v>
      </x:c>
      <x:c r="B29" s="12" t="str">
        <x:v>FR_23</x:v>
      </x:c>
      <x:c r="C29" s="13" t="str">
        <x:v>The system shall allow any user to view published announcements from non-removed university Clubs.</x:v>
      </x:c>
      <x:c r="D29" s="12" t="str">
        <x:v>US_23</x:v>
      </x:c>
      <x:c r="E29" s="14" t="str">
        <x:v>View Club Announcements</x:v>
      </x:c>
      <x:c r="F29" s="19" t="str">
        <x:v>User</x:v>
      </x:c>
      <x:c r="G29" s="19" t="str">
        <x:v>to view public Club announcements</x:v>
      </x:c>
      <x:c r="H29" s="19" t="str">
        <x:v>I can stay informed about university club activities.</x:v>
      </x:c>
      <x:c r="I29" s="13" t="str">
        <x:v>As a Student, I want to view club announcements so that
I can stay informed about university club activities.</x:v>
      </x:c>
      <x:c r="J29" s="13" t="str">
        <x:v>- Only PUBLISHED, non-expired announcements from ACTIVE or PUBLISHING_SUSPENDED Clubs are displayed in the current public feed.
- Each Announcement shows title, Club name, priority, content, and publication time.
- Announcements are ordered newest first.
- UNPUBLISHED, EXPIRED, and REMOVED announcements are excluded from the current feed.
- Announcements belonging to REMOVED Clubs are not displayed.
- Club membership or a ClubRoleAssignment is not required to view public announcements.</x:v>
      </x:c>
      <x:c r="K29" s="15" t="str">
        <x:v>High</x:v>
      </x:c>
      <x:c r="L29" s="15" t="str">
        <x:v>To Do</x:v>
      </x:c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  <x:c r="W29" s="16"/>
      <x:c r="X29" s="16"/>
      <x:c r="Y29" s="16"/>
      <x:c r="Z29" s="16"/>
      <x:c r="AA29" s="16"/>
      <x:c r="AB29" s="16"/>
      <x:c r="AC29" s="16"/>
      <x:c r="AD29" s="16"/>
    </x:row>
    <x:row r="30" ht="22.5" customHeight="1">
      <x:c r="A30" s="11" t="n">
        <x:v>29</x:v>
      </x:c>
      <x:c r="B30" s="12" t="str">
        <x:v>FR_24</x:v>
      </x:c>
      <x:c r="C30" s="13" t="str">
        <x:v>The system shall allow a user to filter public Club announcements by Club, Club category, priority, or publication date.</x:v>
      </x:c>
      <x:c r="D30" s="12" t="str">
        <x:v>US_24</x:v>
      </x:c>
      <x:c r="E30" s="14" t="str">
        <x:v>Filter Club Announcements</x:v>
      </x:c>
      <x:c r="F30" s="19" t="str">
        <x:v>User</x:v>
      </x:c>
      <x:c r="G30" s="19" t="str">
        <x:v>to filter club announcements</x:v>
      </x:c>
      <x:c r="H30" s="19" t="str">
        <x:v>I can quickly find updates relevant to me.</x:v>
      </x:c>
      <x:c r="I30" s="13" t="str">
        <x:v>As a Student, I want to filter club announcements so that
I can quickly find updates relevant to me.</x:v>
      </x:c>
      <x:c r="J30" s="13" t="str">
        <x:v>- Announcements can be filtered by club.
- Announcements can be filtered by club category.
- Announcements can be filtered by publication date or date range.
- Announcements can be filtered by priority.
- Multiple filters can be applied together.
- Clearing filters restores the complete announcement
feed.
- Results contain only announcements matching the
selected filters.</x:v>
      </x:c>
      <x:c r="K30" s="15" t="str">
        <x:v>Low</x:v>
      </x:c>
      <x:c r="L30" s="15" t="str">
        <x:v>To Do</x:v>
      </x:c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  <x:c r="W30" s="16"/>
      <x:c r="X30" s="16"/>
      <x:c r="Y30" s="16"/>
      <x:c r="Z30" s="16"/>
      <x:c r="AA30" s="16"/>
      <x:c r="AB30" s="16"/>
      <x:c r="AC30" s="16"/>
      <x:c r="AD30" s="16"/>
    </x:row>
    <x:row r="31" ht="22.5" customHeight="1">
      <x:c r="A31" s="11" t="n">
        <x:v>30</x:v>
      </x:c>
      <x:c r="B31" s="12" t="str">
        <x:v>FR_25</x:v>
      </x:c>
      <x:c r="C31" s="13" t="str">
        <x:v>The system shall allow an ACTIVE member to send a connection request, optionally containing an introductory message, to another eligible ACTIVE member.</x:v>
      </x:c>
      <x:c r="D31" s="12" t="str">
        <x:v>US_25</x:v>
      </x:c>
      <x:c r="E31" s="14" t="str">
        <x:v>Build a relevant network</x:v>
      </x:c>
      <x:c r="F31" s="19" t="str">
        <x:v>Authenticated Member</x:v>
      </x:c>
      <x:c r="G31" s="19" t="str">
        <x:v> to send connection requests to people with similar academic or professional interests</x:v>
      </x:c>
      <x:c r="H31" s="19" t="str">
        <x:v>I can communicate with them within the platform.</x:v>
      </x:c>
      <x:c r="I31" s="13" t="str">
        <x:v>As a member, I want to send connection requests to people with similar academic or professional interests, so that I can communicate with them within the platform.</x:v>
      </x:c>
      <x:c r="J31" s="13" t="str">
        <x:v>- Requester and receiver are distinct ACTIVE users.
- An optional introductory message may be included with the request.
- Self-requests are blocked.
- At most one PENDING or ACCEPTED Connection exists for an unordered user pair; reversing direction cannot bypass this rule.
- A valid request is stored as PENDING and the receiver receives one notification event.</x:v>
      </x:c>
      <x:c r="K31" s="15" t="str">
        <x:v>High</x:v>
      </x:c>
      <x:c r="L31" s="15" t="str">
        <x:v>In Progress</x:v>
      </x:c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  <x:c r="W31" s="16"/>
      <x:c r="X31" s="16"/>
      <x:c r="Y31" s="16"/>
      <x:c r="Z31" s="16"/>
      <x:c r="AA31" s="16"/>
      <x:c r="AB31" s="16"/>
      <x:c r="AC31" s="16"/>
      <x:c r="AD31" s="16"/>
    </x:row>
    <x:row r="32" ht="22.5" customHeight="1">
      <x:c r="A32" s="11" t="n">
        <x:v>31</x:v>
      </x:c>
      <x:c r="B32" s="12" t="str">
        <x:v>FR_26</x:v>
      </x:c>
      <x:c r="C32" s="13" t="str">
        <x:v>The system shall allow the recipient of a pending connection request to accept or reject it.</x:v>
      </x:c>
      <x:c r="D32" s="12" t="str">
        <x:v>US_26</x:v>
      </x:c>
      <x:c r="E32" s="13" t="str">
        <x:v>Control my network</x:v>
      </x:c>
      <x:c r="F32" s="19" t="str">
        <x:v>Authenticated Member</x:v>
      </x:c>
      <x:c r="G32" s="19" t="str">
        <x:v> I want to review and accept or decline connections</x:v>
      </x:c>
      <x:c r="H32" s="19" t="str">
        <x:v>my network
contains people I genuinely want to engage with.</x:v>
      </x:c>
      <x:c r="I32" s="13" t="str">
        <x:v>As a member, I want to review and accept or decline connections so that my network
contains people I genuinely want to engage with.</x:v>
      </x:c>
      <x:c r="J32" s="13" t="str">
        <x:v>- Only the receiver may accept or reject a PENDING request.
- Accept changes ConnectionStatus to ACCEPTED and creates one mutual first-degree connection.
- Accepting does not create a Conversation.
- Reject changes ConnectionStatus to REJECTED and preserves history.
- The requester is notified of acceptance.</x:v>
      </x:c>
      <x:c r="K32" s="15" t="str">
        <x:v>High</x:v>
      </x:c>
      <x:c r="L32" s="15" t="str">
        <x:v>To Do</x:v>
      </x:c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  <x:c r="W32" s="16"/>
      <x:c r="X32" s="16"/>
      <x:c r="Y32" s="16"/>
      <x:c r="Z32" s="16"/>
      <x:c r="AA32" s="16"/>
      <x:c r="AB32" s="16"/>
      <x:c r="AC32" s="16"/>
      <x:c r="AD32" s="16"/>
    </x:row>
    <x:row r="33" ht="22.5" customHeight="1">
      <x:c r="A33" s="11" t="n">
        <x:v>32</x:v>
      </x:c>
      <x:c r="B33" s="12" t="str">
        <x:v>FR_27</x:v>
      </x:c>
      <x:c r="C33" s="13" t="str">
        <x:v>The system shall allow an authenticated member to view their list of first-degree connections.</x:v>
      </x:c>
      <x:c r="D33" s="12" t="str">
        <x:v>US_27</x:v>
      </x:c>
      <x:c r="E33" s="14" t="str">
        <x:v>Access My Existing Connections</x:v>
      </x:c>
      <x:c r="F33" s="19" t="str">
        <x:v>Authenticated Member</x:v>
      </x:c>
      <x:c r="G33" s="19" t="str">
        <x:v> to view my list of first-degree connections</x:v>
      </x:c>
      <x:c r="H33" s="19" t="str">
        <x:v>I can easily see and access my existing professional network.</x:v>
      </x:c>
      <x:c r="I33" s="19" t="str">
        <x:v>As a member, I want to view my list of first-degree connections, so that I can easily see and access my existing professional network.</x:v>
      </x:c>
      <x:c r="J33" s="13" t="str">
        <x:v>- All first-degree connections are displayed.
- Total connection count is shown.
- Connections can be searched by name.
- Connections can be sorted.
- Selecting a connection opens the profile.</x:v>
      </x:c>
      <x:c r="K33" s="15" t="str">
        <x:v>Medium</x:v>
      </x:c>
      <x:c r="L33" s="15" t="str">
        <x:v>To Do</x:v>
      </x:c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  <x:c r="W33" s="16"/>
      <x:c r="X33" s="16"/>
      <x:c r="Y33" s="16"/>
      <x:c r="Z33" s="16"/>
      <x:c r="AA33" s="16"/>
      <x:c r="AB33" s="16"/>
      <x:c r="AC33" s="16"/>
      <x:c r="AD33" s="16"/>
    </x:row>
    <x:row r="34" ht="22.5" customHeight="1">
      <x:c r="A34" s="11" t="n">
        <x:v>33</x:v>
      </x:c>
      <x:c r="B34" s="12" t="str">
        <x:v>FR_28</x:v>
      </x:c>
      <x:c r="C34" s="13" t="str">
        <x:v>The system shall allow an authenticated member to remove an existing first-degree connection.</x:v>
      </x:c>
      <x:c r="D34" s="12" t="str">
        <x:v>US_28</x:v>
      </x:c>
      <x:c r="E34" s="14" t="str">
        <x:v>Remove an Outdated Connection</x:v>
      </x:c>
      <x:c r="F34" s="19" t="str">
        <x:v>Connected member</x:v>
      </x:c>
      <x:c r="G34" s="19" t="str">
        <x:v>to remove a connection that is no longer relevant</x:v>
      </x:c>
      <x:c r="H34" s="19" t="str">
        <x:v>future access and communication reflect my current network.</x:v>
      </x:c>
      <x:c r="I34" s="13" t="str">
        <x:v>As a connected member, I want to remove a connection that is no longer relevant so that future access and communication reflect my current network.</x:v>
      </x:c>
      <x:c r="J34" s="13" t="str">
        <x:v>- Either participant may remove an ACCEPTED Connection after confirmation.
- ConnectionStatus becomes REMOVED and the mutual connection count is recalculated.
- New ordinary messages are blocked immediately.
- Any existing Conversation and Message history remains viewable.
- The removed Connection record is retained as history.</x:v>
      </x:c>
      <x:c r="K34" s="15" t="str">
        <x:v>Medium</x:v>
      </x:c>
      <x:c r="L34" s="15" t="str">
        <x:v>To Do</x:v>
      </x:c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  <x:c r="W34" s="16"/>
      <x:c r="X34" s="16"/>
      <x:c r="Y34" s="16"/>
      <x:c r="Z34" s="16"/>
      <x:c r="AA34" s="16"/>
      <x:c r="AB34" s="16"/>
      <x:c r="AC34" s="16"/>
      <x:c r="AD34" s="16"/>
    </x:row>
    <x:row r="35" ht="22.5" customHeight="1">
      <x:c r="A35" s="11" t="n">
        <x:v>34</x:v>
      </x:c>
      <x:c r="B35" s="12" t="str">
        <x:v>FR_29</x:v>
      </x:c>
      <x:c r="C35" s="13" t="str">
        <x:v>The system shall allow a Student to search for potential teammates using required skills.</x:v>
      </x:c>
      <x:c r="D35" s="12" t="str">
        <x:v>US_29.1</x:v>
      </x:c>
      <x:c r="E35" s="14" t="str">
        <x:v>Find Teammate Using Skill</x:v>
      </x:c>
      <x:c r="F35" s="13" t="str">
        <x:v>Student</x:v>
      </x:c>
      <x:c r="G35" s="19" t="str">
        <x:v>to search for potential teammates by required skills</x:v>
      </x:c>
      <x:c r="H35" s="19" t="str">
        <x:v>I can easily find people who have the expertise I need for my projects.</x:v>
      </x:c>
      <x:c r="I35" s="13" t="str">
        <x:v>As a Student, I want to search for teammates with required skills, so that I can easily find people who have the expertise I need for my projects.</x:v>
      </x:c>
      <x:c r="J35" s="13" t="str">
        <x:v>- At least one required skill is entered; combined required and optional skills are limited to 10.
- Candidates are ACTIVE, non-anonymized Students with permitted profiles containing every required skill.
- Optional skills do not affect eligibility, counts, ordering, or pagination.
- Department, study year, and project-availability filters are available and combine with AND.
- Privacy applies before filtering, counting, ordering, and pagination.
- Results show only the requested, visible skill intersection labelled REQUIRED or OPTIONAL.
- Selecting a result opens the candidate's permitted profile.</x:v>
      </x:c>
      <x:c r="K35" s="15" t="str">
        <x:v>High</x:v>
      </x:c>
      <x:c r="L35" s="15" t="str">
        <x:v>Done</x:v>
      </x:c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  <x:c r="W35" s="16"/>
      <x:c r="X35" s="16"/>
      <x:c r="Y35" s="16"/>
      <x:c r="Z35" s="16"/>
      <x:c r="AA35" s="16"/>
      <x:c r="AB35" s="16"/>
      <x:c r="AC35" s="16"/>
      <x:c r="AD35" s="16"/>
    </x:row>
    <x:row r="36" ht="22.5" customHeight="1">
      <x:c r="A36" s="11" t="n">
        <x:v>35</x:v>
      </x:c>
      <x:c r="B36" s="12" t="str">
        <x:v>FR_29</x:v>
      </x:c>
      <x:c r="C36" s="13" t="str">
        <x:v>The system shall allow a Student to search for potential teammates using required skills.</x:v>
      </x:c>
      <x:c r="D36" s="12" t="str">
        <x:v>US_29.2</x:v>
      </x:c>
      <x:c r="E36" s="14" t="str">
        <x:v>Explore Collaborators Before Choosing a Project</x:v>
      </x:c>
      <x:c r="F36" s="13" t="str">
        <x:v>Student who has not finalized a project idea</x:v>
      </x:c>
      <x:c r="G36" s="19" t="str">
        <x:v>to discover people with complementary skills </x:v>
      </x:c>
      <x:c r="H36" s="19" t="str">
        <x:v> we can discuss possible projects before building a new project.</x:v>
      </x:c>
      <x:c r="I36" s="13" t="str">
        <x:v>As a Student who has not finalized a project idea, I want to discover people with complementary skills so that we can discuss possible projects before building a new project.</x:v>
      </x:c>
      <x:c r="J36" s="13" t="str">
        <x:v>- Search can be performed without selecting or creating a project.
- Multiple required and optional skills can be used; at least one required skill remains mandatory.
- Results can include candidates outside existing connections only when profile privacy permits their protected details.
- Project-owned search uses stored project skills and excludes current members and all lifetime applicants.
- Search creates no project, application, audit, notification, recommendation, or skill-vocabulary record.
- Candidate matching and project availability do not restrict a Student's separate permission to apply.</x:v>
      </x:c>
      <x:c r="K36" s="15" t="str">
        <x:v>High</x:v>
      </x:c>
      <x:c r="L36" s="15" t="str">
        <x:v>Done</x:v>
      </x:c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  <x:c r="W36" s="16"/>
      <x:c r="X36" s="16"/>
      <x:c r="Y36" s="16"/>
      <x:c r="Z36" s="16"/>
      <x:c r="AA36" s="16"/>
      <x:c r="AB36" s="16"/>
      <x:c r="AC36" s="16"/>
      <x:c r="AD36" s="16"/>
    </x:row>
    <x:row r="37" ht="22.5" customHeight="1">
      <x:c r="A37" s="11" t="n">
        <x:v>36</x:v>
      </x:c>
      <x:c r="B37" s="12" t="str">
        <x:v>FR_30</x:v>
      </x:c>
      <x:c r="C37" s="13" t="str">
        <x:v>The system shall calculate transient teammate recommendations using skill compatibility, connection proximity, and interests.</x:v>
      </x:c>
      <x:c r="D37" s="12" t="str">
        <x:v>US_30</x:v>
      </x:c>
      <x:c r="E37" s="14" t="str">
        <x:v>Discover Compatible Teammates</x:v>
      </x:c>
      <x:c r="F37" s="19" t="str">
        <x:v>Student</x:v>
      </x:c>
      <x:c r="G37" s="19" t="str">
        <x:v>to receive recommendations for potential teammates based on skill compatibility, connection proximity, and intereststo receive recommendations for potential teammates based on skills, connection proximity, and interests</x:v>
      </x:c>
      <x:c r="H37" s="19" t="str">
        <x:v>I can discover well-matched collaborators.</x:v>
      </x:c>
      <x:c r="I37" s="13" t="str">
        <x:v>As a Student, I want to receive recommendations for potential teammates based on skills, connection proximity, and interests, so that I can discover well-matched collaborators.</x:v>
      </x:c>
      <x:c r="J37" s="13" t="str">
        <x:v>- Eligible candidates are ACTIVE STUDENT users who are project-available and otherwise permitted.
- Each candidate receives a calculated 0–100% score.
- Required skills, connection proximity, and interests contribute to the score.
- Results are ordered highest to lowest.
- Fixed scoring weights are not stored unless separately approved as a business rule.
- Recommendation results are not permanent domain entities.</x:v>
      </x:c>
      <x:c r="K37" s="15" t="str">
        <x:v>High</x:v>
      </x:c>
      <x:c r="L37" s="15" t="str">
        <x:v>To Do</x:v>
      </x:c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  <x:c r="W37" s="16"/>
      <x:c r="X37" s="16"/>
      <x:c r="Y37" s="16"/>
      <x:c r="Z37" s="16"/>
      <x:c r="AA37" s="16"/>
      <x:c r="AB37" s="16"/>
      <x:c r="AC37" s="16"/>
      <x:c r="AD37" s="16"/>
    </x:row>
    <x:row r="38" ht="156" hidden="0" customHeight="1">
      <x:c r="A38" s="11" t="n">
        <x:v>37</x:v>
      </x:c>
      <x:c r="B38" s="12" t="str">
        <x:v>FR_31</x:v>
      </x:c>
      <x:c r="C38" s="13" t="str">
        <x:v>The system shall allow a Student to browse available project posts using filters and sorting options.</x:v>
      </x:c>
      <x:c r="D38" s="12" t="str">
        <x:v>US_31</x:v>
      </x:c>
      <x:c r="E38" s="14" t="str">
        <x:v>Discover Suitable Project Opportunities</x:v>
      </x:c>
      <x:c r="F38" s="19" t="str">
        <x:v>Student</x:v>
      </x:c>
      <x:c r="G38" s="19" t="str">
        <x:v>to browse available project posts using filters and sorting options</x:v>
      </x:c>
      <x:c r="H38" s="19" t="str">
        <x:v>I can find projects that match my skills and interests efficiently</x:v>
      </x:c>
      <x:c r="I38" s="13" t="str">
        <x:v>As a Student, I want to browse available project posts using filters and sorting options, so that I can find projects that match my skills and schedules efficiently.</x:v>
      </x:c>
      <x:c r="J38" s="13" t="str">
        <x:v>- Default browse returns non-expired OPEN projects, including AVAILABLE and FULL projects.
- Stored status and derived availability are separate filters and combine with AND.
- Availability values are AVAILABLE, FULL, EXPIRED, and CLOSED.
- Skill and creator-current-department filters are available.
- Sorting supports newest-created and earliest-deadline order.
- Results are paginated; DELETED projects never appear.</x:v>
      </x:c>
      <x:c r="K38" s="15" t="str">
        <x:v>High</x:v>
      </x:c>
      <x:c r="L38" s="15" t="str">
        <x:v>Done</x:v>
      </x:c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  <x:c r="W38" s="16"/>
      <x:c r="X38" s="16"/>
      <x:c r="Y38" s="16"/>
      <x:c r="Z38" s="16"/>
      <x:c r="AA38" s="16"/>
      <x:c r="AB38" s="16"/>
      <x:c r="AC38" s="16"/>
      <x:c r="AD38" s="16"/>
    </x:row>
    <x:row r="39" ht="132" hidden="0" customHeight="1">
      <x:c r="A39" s="11" t="n">
        <x:v>38</x:v>
      </x:c>
      <x:c r="B39" s="12" t="str">
        <x:v>FR_32</x:v>
      </x:c>
      <x:c r="C39" s="13" t="str">
        <x:v>The system shall allow a Student to view the complete information of a selected project post.</x:v>
      </x:c>
      <x:c r="D39" s="12" t="str">
        <x:v>US_32</x:v>
      </x:c>
      <x:c r="E39" s="14" t="str">
        <x:v>Evaluate a Project Before Applying</x:v>
      </x:c>
      <x:c r="F39" s="19" t="str">
        <x:v>Student</x:v>
      </x:c>
      <x:c r="G39" s="19" t="str">
        <x:v>to view the complete information of a selected project post</x:v>
      </x:c>
      <x:c r="H39" s="19" t="str">
        <x:v>I can fully understand the project scope and requirements before deciding to join.</x:v>
      </x:c>
      <x:c r="I39" s="13" t="str">
        <x:v>As a Student, I want to view the complete information of a selected project post, so that I can fully understand the project scope and requirements before deciding to join.</x:v>
      </x:c>
      <x:c r="J39" s="13" t="str">
        <x:v>- Title, description, skills, creator attribution, deadline, and lifecycle status are shown.
- Membership count, vacancies, fullness, and availability are derived.
- The current Student's lifetime application status is shown when one exists.
- Closed and expired projects retain direct details.
- DELETED projects return 404 from ordinary endpoints.</x:v>
      </x:c>
      <x:c r="K39" s="15" t="str">
        <x:v>High</x:v>
      </x:c>
      <x:c r="L39" s="15" t="str">
        <x:v>Done</x:v>
      </x:c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  <x:c r="W39" s="16"/>
      <x:c r="X39" s="16"/>
      <x:c r="Y39" s="16"/>
      <x:c r="Z39" s="16"/>
      <x:c r="AA39" s="16"/>
      <x:c r="AB39" s="16"/>
      <x:c r="AC39" s="16"/>
      <x:c r="AD39" s="16"/>
    </x:row>
    <x:row r="40" ht="156" hidden="0" customHeight="1">
      <x:c r="A40" s="11" t="n">
        <x:v>39</x:v>
      </x:c>
      <x:c r="B40" s="12" t="str">
        <x:v>FR_33</x:v>
      </x:c>
      <x:c r="C40" s="13" t="str">
        <x:v>The system shall allow an ACTIVE Student to create a Project with project information, required skills, and a total team-size limit that includes the creator.</x:v>
      </x:c>
      <x:c r="D40" s="12" t="str">
        <x:v>US_33</x:v>
      </x:c>
      <x:c r="E40" s="14" t="str">
        <x:v>Recruit Suitable Project Teammates</x:v>
      </x:c>
      <x:c r="F40" s="19" t="str">
        <x:v>Student</x:v>
      </x:c>
      <x:c r="G40" s="19" t="str">
        <x:v>to create a project post containing project details and required skills</x:v>
      </x:c>
      <x:c r="H40" s="19" t="str">
        <x:v>I can attract suitable teammates who can contribute to my project</x:v>
      </x:c>
      <x:c r="I40" s="13" t="str">
        <x:v>As a Student, I want to create a project post containing project details and required skills, so that I can attract suitable teammates who can contribute to my project.</x:v>
      </x:c>
      <x:c r="J40" s="13" t="str">
        <x:v>- Only an ACTIVE, non-anonymized STUDENT may create.
- Title, description, applicationDeadline, and at least one required skill are required.
- teamSizeLimit is total capacity including the creator and is between 2 and 100.
- The deadline is valid through that date in Asia/Dhaka.
- ProjectStatus is OPEN and the sole CREATOR membership is created atomically.
- Membership count, vacancies, fullness, expiry, and availability are derived rather than stored.</x:v>
      </x:c>
      <x:c r="K40" s="15" t="str">
        <x:v>High</x:v>
      </x:c>
      <x:c r="L40" s="15" t="str">
        <x:v>Done</x:v>
      </x:c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  <x:c r="W40" s="16"/>
      <x:c r="X40" s="16"/>
      <x:c r="Y40" s="16"/>
      <x:c r="Z40" s="16"/>
      <x:c r="AA40" s="16"/>
      <x:c r="AB40" s="16"/>
      <x:c r="AC40" s="16"/>
      <x:c r="AD40" s="16"/>
    </x:row>
    <x:row r="41" ht="180" hidden="0" customHeight="1">
      <x:c r="A41" s="11" t="n">
        <x:v>40</x:v>
      </x:c>
      <x:c r="B41" s="12" t="str">
        <x:v>FR_34</x:v>
      </x:c>
      <x:c r="C41" s="13" t="str">
        <x:v> The system shall allow an eligible Student to submit an application to an open project.</x:v>
      </x:c>
      <x:c r="D41" s="12" t="str">
        <x:v>US_34</x:v>
      </x:c>
      <x:c r="E41" s="14" t="str">
        <x:v>Apply to Join a Project</x:v>
      </x:c>
      <x:c r="F41" s="19" t="str">
        <x:v>Eligible Student</x:v>
      </x:c>
      <x:c r="G41" s="19" t="str">
        <x:v>to apply to an open project</x:v>
      </x:c>
      <x:c r="H41" s="19" t="str">
        <x:v>I can join projects that interest me and fit my skills.</x:v>
      </x:c>
      <x:c r="I41" s="13" t="str">
        <x:v>As an eligible Student, I want to apply to an open project, so that I can join projects that interest me and fit my skills.</x:v>
      </x:c>
      <x:c r="J41" s="13" t="str">
        <x:v>- Applicant and creator are currently ACTIVE, non-anonymized STUDENT accounts.
- Project is OPEN, non-expired, not DELETED, and has a vacancy.
- Creator and existing members cannot apply.
- Exactly one lifetime application exists per project/applicant pair; withdrawal and reapplication are unavailable.
- Optional message is at most 500 characters.
- A valid application is stored as PENDING; the creator receives no application-received notification.</x:v>
      </x:c>
      <x:c r="K41" s="15" t="str">
        <x:v>High</x:v>
      </x:c>
      <x:c r="L41" s="15" t="str">
        <x:v>Done</x:v>
      </x:c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  <x:c r="W41" s="16"/>
      <x:c r="X41" s="16"/>
      <x:c r="Y41" s="16"/>
      <x:c r="Z41" s="16"/>
      <x:c r="AA41" s="16"/>
      <x:c r="AB41" s="16"/>
      <x:c r="AC41" s="16"/>
      <x:c r="AD41" s="16"/>
    </x:row>
    <x:row r="42" ht="96" hidden="0" customHeight="1">
      <x:c r="A42" s="11" t="n">
        <x:v>41</x:v>
      </x:c>
      <x:c r="B42" s="12" t="str">
        <x:v>FR_35</x:v>
      </x:c>
      <x:c r="C42" s="13" t="str">
        <x:v>The system shall allow the creator of a project to view applications submitted to that project.</x:v>
      </x:c>
      <x:c r="D42" s="12" t="str">
        <x:v>US_35</x:v>
      </x:c>
      <x:c r="E42" s="14" t="str">
        <x:v>Review Project Applications</x:v>
      </x:c>
      <x:c r="F42" s="19" t="str">
        <x:v>the creator of a project</x:v>
      </x:c>
      <x:c r="G42" s="19" t="str">
        <x:v>to view applications submitted to that project</x:v>
      </x:c>
      <x:c r="H42" s="19" t="str">
        <x:v>I can review interested students and evaluate their suitability</x:v>
      </x:c>
      <x:c r="I42" s="13" t="str">
        <x:v>As the creator of a project, I want to view applications submitted to that project, so that I can review interested students and evaluate their suitability.</x:v>
      </x:c>
      <x:c r="J42" s="13" t="str">
        <x:v>- Only the ACTIVE creator may view applications.
- Pending applications remain visible and reviewable after closing or expiry.
- Applicant attribution, message, status, and UTC lifecycle timestamps are shown.
- Deleted projects return 404 from ordinary endpoints.</x:v>
      </x:c>
      <x:c r="K42" s="15" t="str">
        <x:v>High</x:v>
      </x:c>
      <x:c r="L42" s="15" t="str">
        <x:v>Done</x:v>
      </x:c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  <x:c r="W42" s="16"/>
      <x:c r="X42" s="16"/>
      <x:c r="Y42" s="16"/>
      <x:c r="Z42" s="16"/>
      <x:c r="AA42" s="16"/>
      <x:c r="AB42" s="16"/>
      <x:c r="AC42" s="16"/>
      <x:c r="AD42" s="16"/>
    </x:row>
    <x:row r="43" ht="180" hidden="0" customHeight="1">
      <x:c r="A43" s="11" t="n">
        <x:v>42</x:v>
      </x:c>
      <x:c r="B43" s="12" t="str">
        <x:v>FR_36</x:v>
      </x:c>
      <x:c r="C43" s="13" t="str">
        <x:v>The system shall allow the creator of a project to accept or reject a pending project application.</x:v>
      </x:c>
      <x:c r="D43" s="12" t="str">
        <x:v>US_36</x:v>
      </x:c>
      <x:c r="E43" s="14" t="str">
        <x:v>Select Project Team Members</x:v>
      </x:c>
      <x:c r="F43" s="19" t="str">
        <x:v>the creator of a project</x:v>
      </x:c>
      <x:c r="G43" s="19" t="str">
        <x:v>to accept suitable applicants and decline unsuitable ones</x:v>
      </x:c>
      <x:c r="H43" s="19" t="str">
        <x:v>I can select the best candidates for my team</x:v>
      </x:c>
      <x:c r="I43" s="13" t="str">
        <x:v>As the creator of a project, I want to accept suitable applicants and decline unsuitable ones, so that I can select the best candidates for my team.</x:v>
      </x:c>
      <x:c r="J43" s="13" t="str">
        <x:v>- Only the ACTIVE creator may process an application.
- Only PENDING transitions to ACCEPTED or REJECTED; identical retries return the existing result.
- Acceptance atomically locks, rechecks applicant eligibility and capacity, creates one TEAMMATE membership, audits, and notifies.
- Capacity cannot be exceeded and partial acceptance cannot commit.
- Rejection audits and notifies without membership.
- Conflicting terminal retries return 409; identical retries duplicate nothing.</x:v>
      </x:c>
      <x:c r="K43" s="15" t="str">
        <x:v>High</x:v>
      </x:c>
      <x:c r="L43" s="15" t="str">
        <x:v>Done</x:v>
      </x:c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  <x:c r="W43" s="16"/>
      <x:c r="X43" s="16"/>
      <x:c r="Y43" s="16"/>
      <x:c r="Z43" s="16"/>
      <x:c r="AA43" s="16"/>
      <x:c r="AB43" s="16"/>
      <x:c r="AC43" s="16"/>
      <x:c r="AD43" s="16"/>
    </x:row>
    <x:row r="44" ht="108" hidden="0" customHeight="1">
      <x:c r="A44" s="11" t="n">
        <x:v>43</x:v>
      </x:c>
      <x:c r="B44" s="12" t="str">
        <x:v>FR_37</x:v>
      </x:c>
      <x:c r="C44" s="13" t="str">
        <x:v>The system shall allow the creator of a project to update its editable information.</x:v>
      </x:c>
      <x:c r="D44" s="12" t="str">
        <x:v>US_37</x:v>
      </x:c>
      <x:c r="E44" s="14" t="str">
        <x:v>Update Project Requirements</x:v>
      </x:c>
      <x:c r="F44" s="19" t="str">
        <x:v>the creator of a project</x:v>
      </x:c>
      <x:c r="G44" s="19" t="str">
        <x:v>to update the project post</x:v>
      </x:c>
      <x:c r="H44" s="19" t="str">
        <x:v>I can keep project details accurate and relevant for the future applicants.</x:v>
      </x:c>
      <x:c r="I44" s="13" t="str">
        <x:v>As the creator of a project, I want to update the project post, so that I can keep project details accurate and relevant for the future applicants.</x:v>
      </x:c>
      <x:c r="J44" s="13" t="str">
        <x:v>- Only the ACTIVE creator may edit a non-deleted OPEN or CLOSED Project.
- Required fields remain valid and at least one skill remains required.
- teamSizeLimit cannot be reduced below current membership.
- Lifecycle timestamps are UTC.
- Extending an OPEN Project's deadline can restore application availability.</x:v>
      </x:c>
      <x:c r="K44" s="15" t="str">
        <x:v>Medium</x:v>
      </x:c>
      <x:c r="L44" s="15" t="str">
        <x:v>Done</x:v>
      </x:c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  <x:c r="W44" s="16"/>
      <x:c r="X44" s="16"/>
      <x:c r="Y44" s="16"/>
      <x:c r="Z44" s="16"/>
      <x:c r="AA44" s="16"/>
      <x:c r="AB44" s="16"/>
      <x:c r="AC44" s="16"/>
      <x:c r="AD44" s="16"/>
    </x:row>
    <x:row r="45" ht="132" hidden="0" customHeight="1">
      <x:c r="A45" s="11" t="n">
        <x:v>44</x:v>
      </x:c>
      <x:c r="B45" s="12" t="str">
        <x:v>FR_38</x:v>
      </x:c>
      <x:c r="C45" s="13" t="str">
        <x:v>The system shall allow the Project creator to close recruitment for the Project.</x:v>
      </x:c>
      <x:c r="D45" s="12" t="str">
        <x:v>US_38.1</x:v>
      </x:c>
      <x:c r="E45" s="14" t="str">
        <x:v>Close Project Recruitment</x:v>
      </x:c>
      <x:c r="F45" s="19" t="str">
        <x:v>Project Creator whose available positions are filled</x:v>
      </x:c>
      <x:c r="G45" s="19" t="str">
        <x:v>to close recruitment</x:v>
      </x:c>
      <x:c r="H45" s="19" t="str">
        <x:v>students do not spend time applying to an unavailable project.</x:v>
      </x:c>
      <x:c r="I45" s="13" t="str">
        <x:v>As a Project Creator whose available positions are filled, I want to close recruitment so that students do not spend time applying to an unavailable project.</x:v>
      </x:c>
      <x:c r="J45" s="13" t="str">
        <x:v>- Only the ACTIVE creator may close a non-deleted Project.
- Closing is idempotent, sets ProjectStatus = CLOSED, records closedAt in UTC, and blocks new applications.
- Pending pre-closing applications remain reviewable after close or expiry.
- Acceptance remains possible only while capacity and applicant eligibility permit.
- Closed projects retain direct details and explicit status/availability-filter browsing.</x:v>
      </x:c>
      <x:c r="K45" s="15" t="str">
        <x:v>Medium</x:v>
      </x:c>
      <x:c r="L45" s="15" t="str">
        <x:v>Done</x:v>
      </x:c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  <x:c r="W45" s="16"/>
      <x:c r="X45" s="16"/>
      <x:c r="Y45" s="16"/>
      <x:c r="Z45" s="16"/>
      <x:c r="AA45" s="16"/>
      <x:c r="AB45" s="16"/>
      <x:c r="AC45" s="16"/>
      <x:c r="AD45" s="16"/>
    </x:row>
    <x:row r="46" ht="108" hidden="0" customHeight="1">
      <x:c r="A46" s="11" t="n">
        <x:v>45</x:v>
      </x:c>
      <x:c r="B46" s="12" t="str">
        <x:v>FR_77</x:v>
      </x:c>
      <x:c r="C46" s="13" t="str">
        <x:v>The system shall allow the Project creator to reopen a CLOSED Project when at least one team position is available.</x:v>
      </x:c>
      <x:c r="D46" s="12" t="str">
        <x:v>US_77</x:v>
      </x:c>
      <x:c r="E46" s="14" t="str">
        <x:v>Reopen Project Recruitment</x:v>
      </x:c>
      <x:c r="F46" s="19" t="str">
        <x:v>Project Creator whose team has gained another vacancy</x:v>
      </x:c>
      <x:c r="G46" s="19" t="str">
        <x:v>to reopen recruitment</x:v>
      </x:c>
      <x:c r="H46" s="19" t="str">
        <x:v>new candidates can apply.</x:v>
      </x:c>
      <x:c r="I46" s="13" t="str">
        <x:v>As a Project Creator whose team has gained another vacancy, I want to reopen recruitment so that new candidates can apply.</x:v>
      </x:c>
      <x:c r="J46" s="13" t="str">
        <x:v>- Only the ACTIVE creator may reopen.
- Project is CLOSED, non-deleted, has at least one vacancy, and has a deadline valid today or later in Asia/Dhaka.
- Reopening changes ProjectStatus to OPEN and clears closedAt.
- New applications become available only while the project remains non-expired and not full.</x:v>
      </x:c>
      <x:c r="K46" s="15" t="str">
        <x:v>Medium</x:v>
      </x:c>
      <x:c r="L46" s="15" t="str">
        <x:v>Done</x:v>
      </x:c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  <x:c r="W46" s="16"/>
      <x:c r="X46" s="16"/>
      <x:c r="Y46" s="16"/>
      <x:c r="Z46" s="16"/>
      <x:c r="AA46" s="16"/>
      <x:c r="AB46" s="16"/>
      <x:c r="AC46" s="16"/>
      <x:c r="AD46" s="16"/>
    </x:row>
    <x:row r="47" ht="168" hidden="0" customHeight="1">
      <x:c r="A47" s="11" t="n">
        <x:v>46</x:v>
      </x:c>
      <x:c r="B47" s="12" t="str">
        <x:v>FR_39</x:v>
      </x:c>
      <x:c r="C47" s="13" t="str">
        <x:v>The system shall allow the Project creator to soft-delete the Project after confirmation.</x:v>
      </x:c>
      <x:c r="D47" s="12" t="str">
        <x:v>US_39</x:v>
      </x:c>
      <x:c r="E47" s="14" t="str">
        <x:v>Remove an Abandoned Project</x:v>
      </x:c>
      <x:c r="F47" s="19" t="str">
        <x:v>the creator of a project</x:v>
      </x:c>
      <x:c r="G47" s="19" t="str">
        <x:v>to remove the project from normal use after confirmation</x:v>
      </x:c>
      <x:c r="H47" s="19" t="str">
        <x:v>outdated or abandoned projects no longer appear while historical records are preserved.</x:v>
      </x:c>
      <x:c r="I47" s="13" t="str">
        <x:v>As the creator of a Project, I want to remove it from normal use after confirmation so that outdated or abandoned projects no longer appear while historical records are preserved.</x:v>
      </x:c>
      <x:c r="J47" s="13" t="str">
        <x:v>- Only the ACTIVE creator may delete and explicit confirmation is required.
- Deletion is terminal, sets ProjectStatus = DELETED and deletedAt in UTC, and ordinary endpoints return 404.
- Project, skills, applications, memberships, and audit records are preserved.
- Every PENDING application becomes CANCELLED_PROJECT_DELETED atomically.
- Each affected applicant receives exactly one PROJECT_DELETED notification.
- The Project-owned anonymization hook redacts creator attribution and applies the same deletion/cancellation behavior.</x:v>
      </x:c>
      <x:c r="K47" s="15" t="str">
        <x:v>High</x:v>
      </x:c>
      <x:c r="L47" s="15" t="str">
        <x:v>Done</x:v>
      </x:c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  <x:c r="W47" s="16"/>
      <x:c r="X47" s="16"/>
      <x:c r="Y47" s="16"/>
      <x:c r="Z47" s="16"/>
      <x:c r="AA47" s="16"/>
      <x:c r="AB47" s="16"/>
      <x:c r="AC47" s="16"/>
      <x:c r="AD47" s="16"/>
    </x:row>
    <x:row r="48" ht="22.5" customHeight="1">
      <x:c r="A48" s="11" t="n">
        <x:v>47</x:v>
      </x:c>
      <x:c r="B48" s="12" t="str">
        <x:v>FR_40</x:v>
      </x:c>
      <x:c r="C48" s="13" t="str">
        <x:v>The system shall allow an ACTIVE Student in Year 2 or above to register as a mentor by providing expertise and mentoring information.</x:v>
      </x:c>
      <x:c r="D48" s="12" t="str">
        <x:v>US_40</x:v>
      </x:c>
      <x:c r="E48" s="14" t="str">
        <x:v>Offer Peer Academic Mentorship</x:v>
      </x:c>
      <x:c r="F48" s="19" t="str">
        <x:v>Active Student in Year 2 or above</x:v>
      </x:c>
      <x:c r="G48" s="19" t="str">
        <x:v> to register as a peer mentor by providing my expertise on comlpleted courses of projects</x:v>
      </x:c>
      <x:c r="H48" s="19" t="str">
        <x:v>I can help junior students with university-specific guidance.</x:v>
      </x:c>
      <x:c r="I48" s="13" t="str">
        <x:v>As an eligible senior Student, I want to register as a peer mentor by providing my expertise on comlpleted courses of projects, so that I can help junior students with university-specific guidance.</x:v>
      </x:c>
      <x:c r="J48" s="13" t="str">
        <x:v>- PlatformRole is STUDENT, AccountStatus is ACTIVE, and yearOfStudy is at least 2.
- At least one expertise area and a mentoring bio are required.
- At most one MentorProfile exists for the User.
- Successful registration creates an AVAILABLE MentorProfile.
- The mentor appears in the directory while available.</x:v>
      </x:c>
      <x:c r="K48" s="15" t="str">
        <x:v>High</x:v>
      </x:c>
      <x:c r="L48" s="15" t="str">
        <x:v>To Do</x:v>
      </x:c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  <x:c r="W48" s="16"/>
      <x:c r="X48" s="16"/>
      <x:c r="Y48" s="16"/>
      <x:c r="Z48" s="16"/>
      <x:c r="AA48" s="16"/>
      <x:c r="AB48" s="16"/>
      <x:c r="AC48" s="16"/>
      <x:c r="AD48" s="16"/>
    </x:row>
    <x:row r="49" ht="22.5" customHeight="1">
      <x:c r="A49" s="11" t="n">
        <x:v>48</x:v>
      </x:c>
      <x:c r="B49" s="12" t="str">
        <x:v>FR_41</x:v>
      </x:c>
      <x:c r="C49" s="13" t="str">
        <x:v>The system shall allow an ACTIVE Alumni user to register as a mentor by providing expertise and mentoring information.</x:v>
      </x:c>
      <x:c r="D49" s="12" t="str">
        <x:v>US_41</x:v>
      </x:c>
      <x:c r="E49" s="14" t="str">
        <x:v>Offer Alumni Career Mentorship</x:v>
      </x:c>
      <x:c r="F49" s="19" t="str">
        <x:v>Active Alumni</x:v>
      </x:c>
      <x:c r="G49" s="13" t="str">
        <x:v>to register as a mentor by providing my expertise and mentoring information</x:v>
      </x:c>
      <x:c r="H49" s="13" t="str">
        <x:v>I can share my professional experience and guide students in their career development</x:v>
      </x:c>
      <x:c r="I49" s="13" t="str">
        <x:v>As an Alumni, I want to register as a mentor by providing my expertise and mentoring information, so that I can share my professional experience and guide students in their career development.</x:v>
      </x:c>
      <x:c r="J49" s="13" t="str">
        <x:v>- PlatformRole is ALUMNI and AccountStatus is ACTIVE.
- At least one expertise area and a mentoring bio are required.
- At most one MentorProfile exists for the User.
- Successful registration creates an AVAILABLE MentorProfile.
- The mentor may create mentorship slots and appears in the directory while available.
- Missing or invalid information produces a clear validation message.</x:v>
      </x:c>
      <x:c r="K49" s="15" t="str">
        <x:v>Low</x:v>
      </x:c>
      <x:c r="L49" s="15" t="str">
        <x:v>To Do</x:v>
      </x:c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  <x:c r="W49" s="16"/>
      <x:c r="X49" s="16"/>
      <x:c r="Y49" s="16"/>
      <x:c r="Z49" s="16"/>
      <x:c r="AA49" s="16"/>
      <x:c r="AB49" s="16"/>
      <x:c r="AC49" s="16"/>
      <x:c r="AD49" s="16"/>
    </x:row>
    <x:row r="50" ht="22.5" customHeight="1">
      <x:c r="A50" s="11" t="n">
        <x:v>49</x:v>
      </x:c>
      <x:c r="B50" s="12" t="str">
        <x:v>FR_42</x:v>
      </x:c>
      <x:c r="C50" s="13" t="str">
        <x:v>The system shall allow a registered Mentor to create a ONE_TIME, WEEKLY, or BIWEEKLY MentorshipSlot series and its dated occurrences.</x:v>
      </x:c>
      <x:c r="D50" s="12" t="str">
        <x:v>US_42</x:v>
      </x:c>
      <x:c r="E50" s="14" t="str">
        <x:v>Publish a Mentorship Slot</x:v>
      </x:c>
      <x:c r="F50" s="19" t="str">
        <x:v>registered Mentor</x:v>
      </x:c>
      <x:c r="G50" s="19" t="str">
        <x:v>to create a scheduled mentorship slot</x:v>
      </x:c>
      <x:c r="H50" s="19" t="str">
        <x:v>students can book time with me for guidance and support</x:v>
      </x:c>
      <x:c r="I50" s="13" t="str">
        <x:v>As a registered Mentor, I want to create a scheduled mentorship slot, so that students can book time with me for guidance and support.</x:v>
      </x:c>
      <x:c r="J50" s="13" t="str">
        <x:v>- Topic, description, schedule type, start/end times, mode, and capacity are required.
- End time is later than start time.
- ONE_TIME creates exactly one dated occurrence.
- WEEKLY and BIWEEKLY require a recurrence end date and generate dated future occurrences.
- IN_PERSON requires a location; ONLINE requires a meeting link.
- Conflicting mentor schedules are rejected.
- A valid slot is created with SlotStatus = OPEN.</x:v>
      </x:c>
      <x:c r="K50" s="15" t="str">
        <x:v>High</x:v>
      </x:c>
      <x:c r="L50" s="15" t="str">
        <x:v>To Do</x:v>
      </x:c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  <x:c r="W50" s="16"/>
      <x:c r="X50" s="16"/>
      <x:c r="Y50" s="16"/>
      <x:c r="Z50" s="16"/>
      <x:c r="AA50" s="16"/>
      <x:c r="AB50" s="16"/>
      <x:c r="AC50" s="16"/>
      <x:c r="AD50" s="16"/>
    </x:row>
    <x:row r="51" ht="22.5" customHeight="1">
      <x:c r="A51" s="11" t="n">
        <x:v>50</x:v>
      </x:c>
      <x:c r="B51" s="12" t="str">
        <x:v>FR_43</x:v>
      </x:c>
      <x:c r="C51" s="13" t="str">
        <x:v>The system shall allow a Student to search and browse available mentors using expertise-related filters.</x:v>
      </x:c>
      <x:c r="D51" s="12" t="str">
        <x:v>US_43</x:v>
      </x:c>
      <x:c r="E51" s="14" t="str">
        <x:v>Find a Mentor with Relevant Expertise</x:v>
      </x:c>
      <x:c r="F51" s="19" t="str">
        <x:v>Student</x:v>
      </x:c>
      <x:c r="G51" s="19" t="str">
        <x:v>to search and browse available mentors using expertise-related filters</x:v>
      </x:c>
      <x:c r="H51" s="19" t="str">
        <x:v>I can find mentors who specialize in areas relevant to my needs</x:v>
      </x:c>
      <x:c r="I51" s="13" t="str">
        <x:v>As a Student, I want to search and browse available mentors using expertise-related filters, so that I can find mentors who specialize in areas relevant to my needs.</x:v>
      </x:c>
      <x:c r="J51" s="13" t="str">
        <x:v>- Available mentors are displayed.
- Expertise filter is available.
- Department and year filters are available.
- Profile summary is shown.
- Selecting a mentor shows available slots.</x:v>
      </x:c>
      <x:c r="K51" s="15" t="str">
        <x:v>High</x:v>
      </x:c>
      <x:c r="L51" s="15" t="str">
        <x:v>To Do</x:v>
      </x:c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  <x:c r="W51" s="16"/>
      <x:c r="X51" s="16"/>
      <x:c r="Y51" s="16"/>
      <x:c r="Z51" s="16"/>
      <x:c r="AA51" s="16"/>
      <x:c r="AB51" s="16"/>
      <x:c r="AC51" s="16"/>
      <x:c r="AD51" s="16"/>
    </x:row>
    <x:row r="52" ht="22.5" customHeight="1">
      <x:c r="A52" s="11" t="n">
        <x:v>51</x:v>
      </x:c>
      <x:c r="B52" s="12" t="str">
        <x:v>FR_44</x:v>
      </x:c>
      <x:c r="C52" s="13" t="str">
        <x:v>The system shall allow a Student to browse available mentorship slots using topic, schedule, mode, and availability filters.</x:v>
      </x:c>
      <x:c r="D52" s="12" t="str">
        <x:v>US_44</x:v>
      </x:c>
      <x:c r="E52" s="14" t="str">
        <x:v>Find a Suitable Mentorship Session</x:v>
      </x:c>
      <x:c r="F52" s="19" t="str">
        <x:v>Student</x:v>
      </x:c>
      <x:c r="G52" s="19" t="str">
        <x:v>to browse available mentorship slots using topic, schedule, mode, and availability filters</x:v>
      </x:c>
      <x:c r="H52" s="19" t="str">
        <x:v>I can find sessions that fit my learning goals and availability</x:v>
      </x:c>
      <x:c r="I52" s="13" t="str">
        <x:v>As a Student, I want to browse available mentorship slots using topic, schedule, mode, and availability filters, so that I can find sessions that fit my learning goals and availability.</x:v>
      </x:c>
      <x:c r="J52" s="13" t="str">
        <x:v>- Slot series with SlotStatus = OPEN are browseable.
- Topic, schedule, mode, location, and derived availability filters are available.
- Current enrollment count and available places are calculated.
- FULL is a derived label, not a stored SlotStatus.
- FULL and CLOSED slots remain clearly labelled.
- Selecting a slot opens the series and occurrence details.</x:v>
      </x:c>
      <x:c r="K52" s="15" t="str">
        <x:v>High</x:v>
      </x:c>
      <x:c r="L52" s="15" t="str">
        <x:v>To Do</x:v>
      </x:c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  <x:c r="W52" s="16"/>
      <x:c r="X52" s="16"/>
      <x:c r="Y52" s="16"/>
      <x:c r="Z52" s="16"/>
      <x:c r="AA52" s="16"/>
      <x:c r="AB52" s="16"/>
      <x:c r="AC52" s="16"/>
      <x:c r="AD52" s="16"/>
    </x:row>
    <x:row r="53" ht="22.5" customHeight="1">
      <x:c r="A53" s="11" t="n">
        <x:v>52</x:v>
      </x:c>
      <x:c r="B53" s="12" t="str">
        <x:v>FR_45</x:v>
      </x:c>
      <x:c r="C53" s="13" t="str">
        <x:v>The system shall allow an ACTIVE Student to enroll once in an OPEN MentorshipSlot series with available capacity.</x:v>
      </x:c>
      <x:c r="D53" s="12" t="str">
        <x:v>US_45</x:v>
      </x:c>
      <x:c r="E53" s="14" t="str">
        <x:v>Reserve a Mentorship Place</x:v>
      </x:c>
      <x:c r="F53" s="19" t="str">
        <x:v>Student</x:v>
      </x:c>
      <x:c r="G53" s="19" t="str">
        <x:v>to join an open mentorship slot with available capacity</x:v>
      </x:c>
      <x:c r="H53" s="19" t="str">
        <x:v>I can receive mentorship from experienced individuals</x:v>
      </x:c>
      <x:c r="I53" s="13" t="str">
        <x:v>As a Student, I want to join an open mentorship slot with available capacity, so that I can receive mentorship from experienced individuals.</x:v>
      </x:c>
      <x:c r="J53" s="13" t="str">
        <x:v>- The mentee has PlatformRole = STUDENT and AccountStatus = ACTIVE.
- The slot is OPEN, has a future uncancelled occurrence, and has derived available capacity.
- The creating Mentor cannot join their own slot.
- At most one current enrollment exists per slot/student pair.
- One enrollment covers the complete slot series.
- The derived enrollment count reflects the new enrollment and confirmation notifications are generated.</x:v>
      </x:c>
      <x:c r="K53" s="15" t="str">
        <x:v>High</x:v>
      </x:c>
      <x:c r="L53" s="15" t="str">
        <x:v>To Do</x:v>
      </x:c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  <x:c r="W53" s="16"/>
      <x:c r="X53" s="16"/>
      <x:c r="Y53" s="16"/>
      <x:c r="Z53" s="16"/>
      <x:c r="AA53" s="16"/>
      <x:c r="AB53" s="16"/>
      <x:c r="AC53" s="16"/>
      <x:c r="AD53" s="16"/>
    </x:row>
    <x:row r="54" ht="22.5" customHeight="1">
      <x:c r="A54" s="11" t="n">
        <x:v>53</x:v>
      </x:c>
      <x:c r="B54" s="12" t="str">
        <x:v>FR_46</x:v>
      </x:c>
      <x:c r="C54" s="13" t="str">
        <x:v>The system shall allow an enrolled Student to leave a mentorship slot.</x:v>
      </x:c>
      <x:c r="D54" s="12" t="str">
        <x:v>US_46</x:v>
      </x:c>
      <x:c r="E54" s="14" t="str">
        <x:v>Release My Mentorship Place</x:v>
      </x:c>
      <x:c r="F54" s="19" t="str">
        <x:v>enrolled Student</x:v>
      </x:c>
      <x:c r="G54" s="19" t="str">
        <x:v>to leave a mentorship slot</x:v>
      </x:c>
      <x:c r="H54" s="19" t="str">
        <x:v>I can free up my schedule and allow others to take the spot if my circumstances change</x:v>
      </x:c>
      <x:c r="I54" s="13" t="str">
        <x:v>As an enrolled Student, I want to leave a mentorship slot, so that I can free up my schedule and allow others to take the spot if my circumstances change.</x:v>
      </x:c>
      <x:c r="J54" s="13" t="str">
        <x:v>- Only a currently enrolled Student may leave.
- Confirmation is required.
- Leaving sets leftAt and preserves enrollment history.
- The derived enrollment and available-place counts update.
- A previously FULL slot is no longer labelled FULL when capacity becomes available.
- Existing occurrence history is preserved.</x:v>
      </x:c>
      <x:c r="K54" s="15" t="str">
        <x:v>Medium</x:v>
      </x:c>
      <x:c r="L54" s="15" t="str">
        <x:v>To Do</x:v>
      </x:c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  <x:c r="W54" s="16"/>
      <x:c r="X54" s="16"/>
      <x:c r="Y54" s="16"/>
      <x:c r="Z54" s="16"/>
      <x:c r="AA54" s="16"/>
      <x:c r="AB54" s="16"/>
      <x:c r="AC54" s="16"/>
      <x:c r="AD54" s="16"/>
    </x:row>
    <x:row r="55" ht="22.5" customHeight="1">
      <x:c r="A55" s="11" t="n">
        <x:v>54</x:v>
      </x:c>
      <x:c r="B55" s="12" t="str">
        <x:v>FR_47</x:v>
      </x:c>
      <x:c r="C55" s="13" t="str">
        <x:v>The system shall allow the creator of a mentorship slot to update its permitted details.</x:v>
      </x:c>
      <x:c r="D55" s="12" t="str">
        <x:v>US_47</x:v>
      </x:c>
      <x:c r="E55" s="14" t="str">
        <x:v>Update Mentorship Session Details</x:v>
      </x:c>
      <x:c r="F55" s="19" t="str">
        <x:v>the creator of a mentorship slot</x:v>
      </x:c>
      <x:c r="G55" s="19" t="str">
        <x:v>to update its permitted details</x:v>
      </x:c>
      <x:c r="H55" s="19" t="str">
        <x:v>I can correct or modify slot information as needed</x:v>
      </x:c>
      <x:c r="I55" s="13" t="str">
        <x:v>As a Mentorship Slot Creator, I want to update the permitted details of my mentorship slot, so that I can keep the mentorship information accurate and up-to-date.</x:v>
      </x:c>
      <x:c r="J55" s="13" t="str">
        <x:v>- Only the MentorProfile owner may edit.
- Schedule changes are checked for conflicts.
- Capacity cannot be lower than the current derived enrollment count.
- Past occurrences are preserved.
- Recurring-series changes affect only eligible future occurrences.
- Current mentees are notified of material changes.</x:v>
      </x:c>
      <x:c r="K55" s="15" t="str">
        <x:v>Medium</x:v>
      </x:c>
      <x:c r="L55" s="15" t="str">
        <x:v>To Do</x:v>
      </x:c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  <x:c r="W55" s="16"/>
      <x:c r="X55" s="16"/>
      <x:c r="Y55" s="16"/>
      <x:c r="Z55" s="16"/>
      <x:c r="AA55" s="16"/>
      <x:c r="AB55" s="16"/>
      <x:c r="AC55" s="16"/>
      <x:c r="AD55" s="16"/>
    </x:row>
    <x:row r="56" ht="22.5" customHeight="1">
      <x:c r="A56" s="11" t="n">
        <x:v>55</x:v>
      </x:c>
      <x:c r="B56" s="12" t="str">
        <x:v>FR_48</x:v>
      </x:c>
      <x:c r="C56" s="13" t="str">
        <x:v>The system shall allow the creator of a mentorship slot to stop accepting new mentees.</x:v>
      </x:c>
      <x:c r="D56" s="12" t="str">
        <x:v>US_48</x:v>
      </x:c>
      <x:c r="E56" s="14" t="str">
        <x:v>Close Mentorship Enrollment</x:v>
      </x:c>
      <x:c r="F56" s="21" t="str">
        <x:v>creator of a mentorship slot</x:v>
      </x:c>
      <x:c r="G56" s="19" t="str">
        <x:v>to stop accepting new mentees</x:v>
      </x:c>
      <x:c r="H56" s="19" t="str">
        <x:v>I can manage my capacity and focus on existing mentees</x:v>
      </x:c>
      <x:c r="I56" s="13" t="str">
        <x:v>As the creator of a mentorship slot, I want to stop accepting new mentees, so that I can manage my capacity and focus on existing mentees.</x:v>
      </x:c>
      <x:c r="J56" s="13" t="str">
        <x:v>- Only creator can close.
- Status becomes Closed.
- Existing mentees remain enrolled.
- New joins are rejected.
- Closed status is visible.</x:v>
      </x:c>
      <x:c r="K56" s="15" t="str">
        <x:v>Medium</x:v>
      </x:c>
      <x:c r="L56" s="15" t="str">
        <x:v>To Do</x:v>
      </x:c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  <x:c r="W56" s="16"/>
      <x:c r="X56" s="16"/>
      <x:c r="Y56" s="16"/>
      <x:c r="Z56" s="16"/>
      <x:c r="AA56" s="16"/>
      <x:c r="AB56" s="16"/>
      <x:c r="AC56" s="16"/>
      <x:c r="AD56" s="16"/>
    </x:row>
    <x:row r="57" ht="22.5" customHeight="1">
      <x:c r="A57" s="11" t="n">
        <x:v>56</x:v>
      </x:c>
      <x:c r="B57" s="12" t="str">
        <x:v>FR_49</x:v>
      </x:c>
      <x:c r="C57" s="13" t="str">
        <x:v>The system shall allow the creator of a mentorship slot to cancel the slot and notify its enrolled mentees.</x:v>
      </x:c>
      <x:c r="D57" s="12" t="str">
        <x:v>US_49</x:v>
      </x:c>
      <x:c r="E57" s="14" t="str">
        <x:v>Cancel a Mentorship Session</x:v>
      </x:c>
      <x:c r="F57" s="19" t="str">
        <x:v>creator of a mentorship slot</x:v>
      </x:c>
      <x:c r="G57" s="19" t="str">
        <x:v>to cancel the slot when I can no  longer conduct a session and notify its enrolled mentees</x:v>
      </x:c>
      <x:c r="H57" s="19" t="str">
        <x:v>they are informed in advance and can make alternative arrangements</x:v>
      </x:c>
      <x:c r="I57" s="13" t="str">
        <x:v>As the creator of a mentorship slot, I want to cancel the slot when I can no  longer conduct a session and notify its enrolled mentees, so that they are informed in advance and can make alternative arrangements.</x:v>
      </x:c>
      <x:c r="J57" s="13" t="str">
        <x:v>- Only the MentorProfile owner may cancel.
- Confirmation is required.
- SlotStatus becomes CANCELLED and new enrollments are blocked.
- Current enrollments and past occurrence history are preserved.
- Every currently enrolled mentee receives one cancellation notification event.</x:v>
      </x:c>
      <x:c r="K57" s="15" t="str">
        <x:v>High</x:v>
      </x:c>
      <x:c r="L57" s="15" t="str">
        <x:v>To Do</x:v>
      </x:c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  <x:c r="W57" s="16"/>
      <x:c r="X57" s="16"/>
      <x:c r="Y57" s="16"/>
      <x:c r="Z57" s="16"/>
      <x:c r="AA57" s="16"/>
      <x:c r="AB57" s="16"/>
      <x:c r="AC57" s="16"/>
      <x:c r="AD57" s="16"/>
    </x:row>
    <x:row r="58" ht="22.5" customHeight="1">
      <x:c r="A58" s="11" t="n">
        <x:v>57</x:v>
      </x:c>
      <x:c r="B58" s="12" t="str">
        <x:v>FR_50</x:v>
      </x:c>
      <x:c r="C58" s="13" t="str">
        <x:v>The system shall allow a mentor or enrolled Student to view MentorshipSlot series they created or joined.</x:v>
      </x:c>
      <x:c r="D58" s="12" t="str">
        <x:v>US_50</x:v>
      </x:c>
      <x:c r="E58" s="14" t="str">
        <x:v>Track My Joined Mentorship Sessions</x:v>
      </x:c>
      <x:c r="F58" s="19" t="str">
        <x:v>Mentor or enrolled Student</x:v>
      </x:c>
      <x:c r="G58" s="19" t="str">
        <x:v>to view the mentorship slots I created or joined</x:v>
      </x:c>
      <x:c r="H58" s="19" t="str">
        <x:v>I can track my mentoring activities and commitments</x:v>
      </x:c>
      <x:c r="I58" s="13" t="str">
        <x:v>As a Student, I want to view the mentorship slots I created or joined, so that I can track my mentoring activities and commitments.</x:v>
      </x:c>
      <x:c r="J58" s="13" t="str">
        <x:v>- Student and Alumni mentors see slot series they created.
- Student mentees see slot series they joined.
- The next eligible occurrence date/time is shown.
- Location or meeting link is shown according to mode.
- Stored slot status and derived FULL/past labels are shown.
- Historical left, cancelled, and past records remain available where authorized.</x:v>
      </x:c>
      <x:c r="K58" s="15" t="str">
        <x:v>High</x:v>
      </x:c>
      <x:c r="L58" s="15" t="str">
        <x:v>To Do</x:v>
      </x:c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  <x:c r="W58" s="16"/>
      <x:c r="X58" s="16"/>
      <x:c r="Y58" s="16"/>
      <x:c r="Z58" s="16"/>
      <x:c r="AA58" s="16"/>
      <x:c r="AB58" s="16"/>
      <x:c r="AC58" s="16"/>
      <x:c r="AD58" s="16"/>
    </x:row>
    <x:row r="59" ht="22.5" customHeight="1">
      <x:c r="A59" s="11" t="n">
        <x:v>58</x:v>
      </x:c>
      <x:c r="B59" s="12" t="str">
        <x:v>FR_51</x:v>
      </x:c>
      <x:c r="C59" s="13" t="str">
        <x:v>The system shall allow an ACTIVE member to send a real-time text message to another ACTIVE member only while their Connection is ACCEPTED.</x:v>
      </x:c>
      <x:c r="D59" s="12" t="str">
        <x:v>US_51</x:v>
      </x:c>
      <x:c r="E59" s="14" t="str">
        <x:v>Continue a Discussion in Real Time</x:v>
      </x:c>
      <x:c r="F59" s="19" t="str">
        <x:v>Active connected member</x:v>
      </x:c>
      <x:c r="G59" s="19" t="str">
        <x:v>to send a real-time text message to an accepted connection</x:v>
      </x:c>
      <x:c r="H59" s="19" t="str">
        <x:v>I can communicate instantly and collaborate effectively with others.</x:v>
      </x:c>
      <x:c r="I59" s="13" t="str">
        <x:v>As an active connected member, I want to send a real-time text message to an accepted connection so that I can communicate instantly and collaborate effectively.</x:v>
      </x:c>
      <x:c r="J59" s="13" t="str">
        <x:v>- Both users are ACTIVE and their Connection is ACCEPTED at send time.
- Empty messages are rejected and content is limited to 5,000 characters.
- The first valid ordinary message atomically creates the pair's single Conversation, exactly two participants, the Message, and participant-state records.
- Later messages reuse the same unordered-pair Conversation.
- The Message is stored with its sender and timestamp.
- An online recipient receives it without refresh.</x:v>
      </x:c>
      <x:c r="K59" s="15" t="str">
        <x:v>High</x:v>
      </x:c>
      <x:c r="L59" s="15" t="str">
        <x:v>To Do</x:v>
      </x:c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  <x:c r="W59" s="16"/>
      <x:c r="X59" s="16"/>
      <x:c r="Y59" s="16"/>
      <x:c r="Z59" s="16"/>
      <x:c r="AA59" s="16"/>
      <x:c r="AB59" s="16"/>
      <x:c r="AC59" s="16"/>
      <x:c r="AD59" s="16"/>
    </x:row>
    <x:row r="60" ht="22.5" customHeight="1">
      <x:c r="A60" s="11" t="n">
        <x:v>59</x:v>
      </x:c>
      <x:c r="B60" s="12" t="str">
        <x:v>FR_52</x:v>
      </x:c>
      <x:c r="C60" s="13" t="str">
        <x:v>The system shall deliver incoming real-time messages to the eligible recipient.</x:v>
      </x:c>
      <x:c r="D60" s="12" t="str">
        <x:v>US_52</x:v>
      </x:c>
      <x:c r="E60" s="14" t="str">
        <x:v>Receive New Messages Instantly</x:v>
      </x:c>
      <x:c r="F60" s="19" t="str">
        <x:v>registered member</x:v>
      </x:c>
      <x:c r="G60" s="19" t="str">
        <x:v>to receive incoming real-time messages</x:v>
      </x:c>
      <x:c r="H60" s="19" t="str">
        <x:v> I can stay updated and respond to messages instantly</x:v>
      </x:c>
      <x:c r="I60" s="13" t="str">
        <x:v>As a member, I want to receive real-time messages, so that I can communicate quickly.</x:v>
      </x:c>
      <x:c r="J60" s="13" t="str">
        <x:v>- The recipient is one of the Conversation's two participants.
- The active chat receives the incoming Message in real time.
- Sender identity and sent time are shown.
- Delivery/read timestamps are stored in the recipient's MessageParticipantState.
- Unread counts are calculated from participant state when the Conversation is inactive.</x:v>
      </x:c>
      <x:c r="K60" s="15" t="str">
        <x:v>High</x:v>
      </x:c>
      <x:c r="L60" s="15" t="str">
        <x:v>To Do</x:v>
      </x:c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  <x:c r="W60" s="16"/>
      <x:c r="X60" s="16"/>
      <x:c r="Y60" s="16"/>
      <x:c r="Z60" s="16"/>
      <x:c r="AA60" s="16"/>
      <x:c r="AB60" s="16"/>
      <x:c r="AC60" s="16"/>
      <x:c r="AD60" s="16"/>
    </x:row>
    <x:row r="61" ht="22.5" customHeight="1">
      <x:c r="A61" s="11" t="n">
        <x:v>60</x:v>
      </x:c>
      <x:c r="B61" s="12" t="str">
        <x:v>FR_53</x:v>
      </x:c>
      <x:c r="C61" s="13" t="str">
        <x:v>The system shall allow an authenticated member to view their conversations ordered by most recent activity.</x:v>
      </x:c>
      <x:c r="D61" s="12" t="str">
        <x:v>US_53</x:v>
      </x:c>
      <x:c r="E61" s="14" t="str">
        <x:v>Resume Recent Conversations</x:v>
      </x:c>
      <x:c r="F61" s="19" t="str">
        <x:v>Member</x:v>
      </x:c>
      <x:c r="G61" s="19" t="str">
        <x:v>to view my conversations ordered by most recent activity</x:v>
      </x:c>
      <x:c r="H61" s="19" t="str">
        <x:v>I can access recent chats.</x:v>
      </x:c>
      <x:c r="I61" s="13" t="str">
        <x:v>As a member, I want to view my conversations, so that I can access recent chats.</x:v>
      </x:c>
      <x:c r="J61" s="13" t="str">
        <x:v>- Every Conversation in which the member is a participant is shown, including retained history after Connection removal.
- Conversations are ordered by most recent activity.
- The other participant, latest visible message preview, and derived unread count are shown.
- A removed Connection prevents new sends but does not remove the Conversation from history.</x:v>
      </x:c>
      <x:c r="K61" s="15" t="str">
        <x:v>High</x:v>
      </x:c>
      <x:c r="L61" s="15" t="str">
        <x:v>To Do</x:v>
      </x:c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  <x:c r="W61" s="16"/>
      <x:c r="X61" s="16"/>
      <x:c r="Y61" s="16"/>
      <x:c r="Z61" s="16"/>
      <x:c r="AA61" s="16"/>
      <x:c r="AB61" s="16"/>
      <x:c r="AC61" s="16"/>
      <x:c r="AD61" s="16"/>
    </x:row>
    <x:row r="62" ht="22.5" customHeight="1">
      <x:c r="A62" s="11" t="n">
        <x:v>61</x:v>
      </x:c>
      <x:c r="B62" s="12" t="str">
        <x:v>FR_54</x:v>
      </x:c>
      <x:c r="C62" s="13" t="str">
        <x:v>The system shall allow an authenticated member to view the stored message history of a selected conversation.</x:v>
      </x:c>
      <x:c r="D62" s="12" t="str">
        <x:v>US_54</x:v>
      </x:c>
      <x:c r="E62" s="14" t="str">
        <x:v>Review Previous Conversation Context</x:v>
      </x:c>
      <x:c r="F62" s="19" t="str">
        <x:v>authenticated member</x:v>
      </x:c>
      <x:c r="G62" s="19" t="str">
        <x:v>to view the stored message history</x:v>
      </x:c>
      <x:c r="H62" s="19" t="str">
        <x:v> read previous conversations.</x:v>
      </x:c>
      <x:c r="I62" s="13" t="str">
        <x:v>As a member, I want to view message history, so that I can read previous conversations.</x:v>
      </x:c>
      <x:c r="J62" s="13" t="str">
        <x:v>- Only one of the Conversation's two participants may open it.
- Visible Messages are ordered chronologically and older messages can be loaded.
- Sender and timestamp are shown.
- Opening the Conversation updates recipient read state for unread messages.
- Delete-for-self and delete-for-everyone visibility rules are respected.
- A new Message may be sent from the view only while the Connection is ACCEPTED and both accounts are ACTIVE.</x:v>
      </x:c>
      <x:c r="K62" s="15" t="str">
        <x:v>Medium</x:v>
      </x:c>
      <x:c r="L62" s="15" t="str">
        <x:v>To Do</x:v>
      </x:c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  <x:c r="W62" s="16"/>
      <x:c r="X62" s="16"/>
      <x:c r="Y62" s="16"/>
      <x:c r="Z62" s="16"/>
      <x:c r="AA62" s="16"/>
      <x:c r="AB62" s="16"/>
      <x:c r="AC62" s="16"/>
      <x:c r="AD62" s="16"/>
    </x:row>
    <x:row r="63" ht="22.5" customHeight="1">
      <x:c r="A63" s="11" t="n">
        <x:v>62</x:v>
      </x:c>
      <x:c r="B63" s="12" t="str">
        <x:v>FR_55</x:v>
      </x:c>
      <x:c r="C63" s="13" t="str">
        <x:v>The system shall prevent an ordinary one-to-one message from being sent unless the two ACTIVE members have an ACCEPTED Connection.</x:v>
      </x:c>
      <x:c r="D63" s="12" t="str">
        <x:v>US_55</x:v>
      </x:c>
      <x:c r="E63" s="14" t="str">
        <x:v>Prevent Unwanted Direct Messages</x:v>
      </x:c>
      <x:c r="F63" s="19" t="str">
        <x:v>Registered member</x:v>
      </x:c>
      <x:c r="G63" s="19" t="str">
        <x:v>ordinary direct messaging to require an accepted connection</x:v>
      </x:c>
      <x:c r="H63" s="19" t="str">
        <x:v>a person cannot send me ordinary chat messages before I accept their connection request.</x:v>
      </x:c>
      <x:c r="I63" s="13" t="str">
        <x:v>As a member, I want ordinary direct messaging to require an accepted connection so that a person cannot send me chat messages before I accept their connection request.</x:v>
      </x:c>
      <x:c r="J63" s="13" t="str">
        <x:v>- Connection status is checked immediately before every send.
- PENDING, REJECTED, CANCELLED, REMOVED, or absent Connections cannot authorize a new Message.
- The connection-request introduction is not an ordinary chat Message.
- Removing an accepted Connection blocks future sends.
- An existing Conversation and its history remain viewable after removal.
- No other approved relationship substitutes for an ACCEPTED Connection.</x:v>
      </x:c>
      <x:c r="K63" s="15" t="str">
        <x:v>High</x:v>
      </x:c>
      <x:c r="L63" s="15" t="str">
        <x:v>To Do</x:v>
      </x:c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  <x:c r="W63" s="16"/>
      <x:c r="X63" s="16"/>
      <x:c r="Y63" s="16"/>
      <x:c r="Z63" s="16"/>
      <x:c r="AA63" s="16"/>
      <x:c r="AB63" s="16"/>
      <x:c r="AC63" s="16"/>
      <x:c r="AD63" s="16"/>
    </x:row>
    <x:row r="64" ht="22.5" customHeight="1">
      <x:c r="A64" s="11" t="n">
        <x:v>63</x:v>
      </x:c>
      <x:c r="B64" s="12" t="str">
        <x:v>FR_56</x:v>
      </x:c>
      <x:c r="C64" s="13" t="str">
        <x:v>The system shall allow an ACTIVE Alumni user to publish a job or internship post.</x:v>
      </x:c>
      <x:c r="D64" s="12" t="str">
        <x:v>US_56</x:v>
      </x:c>
      <x:c r="E64" s="14" t="str">
        <x:v>Publish a Career Opportunity</x:v>
      </x:c>
      <x:c r="F64" s="19" t="str">
        <x:v>Active Alumni</x:v>
      </x:c>
      <x:c r="G64" s="19" t="str">
        <x:v>to create a job or internship post</x:v>
      </x:c>
      <x:c r="H64" s="19" t="str">
        <x:v>I can share career opportunities with students.</x:v>
      </x:c>
      <x:c r="I64" s="13" t="str">
        <x:v>As a Verified Alumni Member, I want to create a job or internship post, so that I can share career opportunities with students.</x:v>
      </x:c>
      <x:c r="J64" s="13" t="str">
        <x:v>- The author has PlatformRole = ALUMNI and AccountStatus = ACTIVE.
- Position, company, description, qualifications, employment type, work mode, and deadline are required.
- At least one valid application URL or email is required.
- A valid post receives JobPostStatus = PUBLISHED and appears on the Career Board.
- No separate alumni-verification flag is stored.</x:v>
      </x:c>
      <x:c r="K64" s="15" t="str">
        <x:v>High</x:v>
      </x:c>
      <x:c r="L64" s="15" t="str">
        <x:v>Done</x:v>
      </x:c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  <x:c r="W64" s="16"/>
      <x:c r="X64" s="16"/>
      <x:c r="Y64" s="16"/>
      <x:c r="Z64" s="16"/>
      <x:c r="AA64" s="16"/>
      <x:c r="AB64" s="16"/>
      <x:c r="AC64" s="16"/>
      <x:c r="AD64" s="16"/>
    </x:row>
    <x:row r="65" ht="22.5" customHeight="1">
      <x:c r="A65" s="22" t="n">
        <x:v>64</x:v>
      </x:c>
      <x:c r="B65" s="12" t="str">
        <x:v>FR_57</x:v>
      </x:c>
      <x:c r="C65" s="13" t="str">
        <x:v>The system shall allow a Student to browse job and internship posts using relevant filters and sorting options.</x:v>
      </x:c>
      <x:c r="D65" s="12" t="str">
        <x:v>US_57</x:v>
      </x:c>
      <x:c r="E65" s="14" t="str">
        <x:v>Find Relevant Career Opportunities</x:v>
      </x:c>
      <x:c r="F65" s="19" t="str">
        <x:v>Student</x:v>
      </x:c>
      <x:c r="G65" s="19" t="str">
        <x:v>to browse job and internship posts using relevant filters and sorting options</x:v>
      </x:c>
      <x:c r="H65" s="19" t="str">
        <x:v>I can find opportunities that match my career interests and qualifications</x:v>
      </x:c>
      <x:c r="I65" s="13" t="str">
        <x:v>As a Student, I want to browse job and internship posts using relevant filters and sorting options, so that I can find career opportunities that match my interests and qualifications.</x:v>
      </x:c>
      <x:c r="J65" s="13" t="str">
        <x:v>- Only active posts are displayed: status is PUBLISHED and the application deadline has not passed.
- Employment type, location, work mode, and skill filters are available.
- Sorting by publication date or deadline is available.
- Job cards show key details.
- Expired posts are excluded from active browsing rather than removed.
- CLOSED and REMOVED posts are excluded from active browsing.</x:v>
      </x:c>
      <x:c r="K65" s="15" t="str">
        <x:v>High</x:v>
      </x:c>
      <x:c r="L65" s="15" t="str">
        <x:v>Done</x:v>
      </x:c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  <x:c r="W65" s="16"/>
      <x:c r="X65" s="16"/>
      <x:c r="Y65" s="16"/>
      <x:c r="Z65" s="16"/>
      <x:c r="AA65" s="16"/>
      <x:c r="AB65" s="16"/>
      <x:c r="AC65" s="16"/>
      <x:c r="AD65" s="16"/>
    </x:row>
    <x:row r="66" ht="22.5" customHeight="1">
      <x:c r="A66" s="22" t="n">
        <x:v>65</x:v>
      </x:c>
      <x:c r="B66" s="12" t="str">
        <x:v>FR_58</x:v>
      </x:c>
      <x:c r="C66" s="13" t="str">
        <x:v>The system shall allow a Student to view the complete details of a selected job or internship post.</x:v>
      </x:c>
      <x:c r="D66" s="12" t="str">
        <x:v>US_58</x:v>
      </x:c>
      <x:c r="E66" s="14" t="str">
        <x:v>Evaluate a Career Opportunity</x:v>
      </x:c>
      <x:c r="F66" s="19" t="str">
        <x:v>Student</x:v>
      </x:c>
      <x:c r="G66" s="19" t="str">
        <x:v> to view the complete details of a selected job or internship post</x:v>
      </x:c>
      <x:c r="H66" s="19" t="str">
        <x:v> I can understand the opportunity and decide whether it is suitable for me.</x:v>
      </x:c>
      <x:c r="I66" s="13" t="str">
        <x:v>As a Student, I want to view the complete details of a selected job or internship post, so that I can understand the opportunity and decide whether it is suitable for me.</x:v>
      </x:c>
      <x:c r="J66" s="13" t="str">
        <x:v>- Position and company are shown.
- Description and qualifications are shown.
- Required skills are shown.
- Deadline and application method are shown.</x:v>
      </x:c>
      <x:c r="K66" s="15" t="str">
        <x:v>High</x:v>
      </x:c>
      <x:c r="L66" s="15" t="str">
        <x:v>In Progress</x:v>
      </x:c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  <x:c r="W66" s="16"/>
      <x:c r="X66" s="16"/>
      <x:c r="Y66" s="16"/>
      <x:c r="Z66" s="16"/>
      <x:c r="AA66" s="16"/>
      <x:c r="AB66" s="16"/>
      <x:c r="AC66" s="16"/>
      <x:c r="AD66" s="16"/>
    </x:row>
    <x:row r="67" ht="22.5" customHeight="1">
      <x:c r="A67" s="22" t="n">
        <x:v>66</x:v>
      </x:c>
      <x:c r="B67" s="12" t="str">
        <x:v>FR_59</x:v>
      </x:c>
      <x:c r="C67" s="13" t="str">
        <x:v>The system shall allow a Student to save a job or internship post for later review.</x:v>
      </x:c>
      <x:c r="D67" s="12" t="str">
        <x:v>US_59</x:v>
      </x:c>
      <x:c r="E67" s="14" t="str">
        <x:v>Build My Application Shortlist</x:v>
      </x:c>
      <x:c r="F67" s="19" t="str">
        <x:v>Student</x:v>
      </x:c>
      <x:c r="G67" s="19" t="str">
        <x:v> to save a job or internship post for later review</x:v>
      </x:c>
      <x:c r="H67" s="19" t="str">
        <x:v>I can easily return to opportunities that interest me.</x:v>
      </x:c>
      <x:c r="I67" s="13" t="str">
        <x:v>As a Student, I want to save a job or internship post for later review, so that I can easily return to opportunities that interest me.</x:v>
      </x:c>
      <x:c r="J67" s="13" t="str">
        <x:v>- Save is available only for an active post.
- A SavedJob is created for the Student and JobPost.
- At most one bookmark exists per Student/post pair.
- Saved status is visible.
- The bookmark remains after the post closes or expires.
- If moderation removes the post, the bookmark may remain for history but cannot expose removed content or permit application.</x:v>
      </x:c>
      <x:c r="K67" s="15" t="str">
        <x:v>Medium</x:v>
      </x:c>
      <x:c r="L67" s="15" t="str">
        <x:v>In Progress</x:v>
      </x:c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  <x:c r="W67" s="16"/>
      <x:c r="X67" s="16"/>
      <x:c r="Y67" s="16"/>
      <x:c r="Z67" s="16"/>
      <x:c r="AA67" s="16"/>
      <x:c r="AB67" s="16"/>
      <x:c r="AC67" s="16"/>
      <x:c r="AD67" s="16"/>
    </x:row>
    <x:row r="68" ht="22.5" customHeight="1">
      <x:c r="A68" s="22" t="n">
        <x:v>67</x:v>
      </x:c>
      <x:c r="B68" s="12" t="str">
        <x:v>FR_60</x:v>
      </x:c>
      <x:c r="C68" s="13" t="str">
        <x:v>The system shall allow a Student to remove a job or internship post from their saved list.</x:v>
      </x:c>
      <x:c r="D68" s="12" t="str">
        <x:v>US_60</x:v>
      </x:c>
      <x:c r="E68" s="14" t="str">
        <x:v>Remove an Opportunity from My Shortlist</x:v>
      </x:c>
      <x:c r="F68" s="19" t="str">
        <x:v>Student</x:v>
      </x:c>
      <x:c r="G68" s="19" t="str">
        <x:v>to remove a job or internship post from my saved list</x:v>
      </x:c>
      <x:c r="H68" s="19" t="str">
        <x:v>I can keep my saved list contains my preferred posts.</x:v>
      </x:c>
      <x:c r="I68" s="13" t="str">
        <x:v>As a Student, I want to remove a job or internship post from my saved list, so that I can keep my saved list contains my preferred posts.</x:v>
      </x:c>
      <x:c r="J68" s="13" t="str">
        <x:v>- Remove action appears only for saved posts.
- Bookmark record is deleted.
- Original post remains unchanged.
- Post disappears from Saved Jobs.
- It can be saved again later.</x:v>
      </x:c>
      <x:c r="K68" s="15" t="str">
        <x:v>Medium</x:v>
      </x:c>
      <x:c r="L68" s="15" t="str">
        <x:v>In Progress</x:v>
      </x:c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  <x:c r="W68" s="16"/>
      <x:c r="X68" s="16"/>
      <x:c r="Y68" s="16"/>
      <x:c r="Z68" s="16"/>
      <x:c r="AA68" s="16"/>
      <x:c r="AB68" s="16"/>
      <x:c r="AC68" s="16"/>
      <x:c r="AD68" s="16"/>
    </x:row>
    <x:row r="69" ht="22.5" customHeight="1">
      <x:c r="A69" s="22" t="n">
        <x:v>68</x:v>
      </x:c>
      <x:c r="B69" s="12" t="str">
        <x:v>FR_61</x:v>
      </x:c>
      <x:c r="C69" s="13" t="str">
        <x:v>The system shall redirect a Student to the external application link or email provided in a career post.</x:v>
      </x:c>
      <x:c r="D69" s="12" t="str">
        <x:v>US_61</x:v>
      </x:c>
      <x:c r="E69" s="14" t="str">
        <x:v>Continue to the Official Application Channel</x:v>
      </x:c>
      <x:c r="F69" s="19" t="str">
        <x:v>Student</x:v>
      </x:c>
      <x:c r="G69" s="19" t="str">
        <x:v>to access the external application link or email provided in a career post</x:v>
      </x:c>
      <x:c r="H69" s="19" t="str">
        <x:v>I can apply for the job or internship through the specified application method.</x:v>
      </x:c>
      <x:c r="I69" s="13" t="str">
        <x:v>As a Student, I want to access the external application link or email provided in a career post, so that I can apply for the job or internship through the specified application method.</x:v>
      </x:c>
      <x:c r="J69" s="13" t="str">
        <x:v>- Apply is available only while the post is active.
- A valid URL opens the external application page.
- A valid application email opens the user's email client.
- CLOSED, expired, or REMOVED posts do not expose an active application action.
- UniConnect does not create an internal application record.</x:v>
      </x:c>
      <x:c r="K69" s="15" t="str">
        <x:v>High</x:v>
      </x:c>
      <x:c r="L69" s="15" t="str">
        <x:v>In Progress</x:v>
      </x:c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  <x:c r="W69" s="16"/>
      <x:c r="X69" s="16"/>
      <x:c r="Y69" s="16"/>
      <x:c r="Z69" s="16"/>
      <x:c r="AA69" s="16"/>
      <x:c r="AB69" s="16"/>
      <x:c r="AC69" s="16"/>
      <x:c r="AD69" s="16"/>
    </x:row>
    <x:row r="70" ht="22.5" customHeight="1">
      <x:c r="A70" s="22" t="n">
        <x:v>69</x:v>
      </x:c>
      <x:c r="B70" s="12" t="str">
        <x:v>FR_62</x:v>
      </x:c>
      <x:c r="C70" s="13" t="str">
        <x:v>The system shall allow an authenticated member to search across users, projects, clubs, events, and career opportunities.</x:v>
      </x:c>
      <x:c r="D70" s="12" t="str">
        <x:v>US_62</x:v>
      </x:c>
      <x:c r="E70" s="14" t="str">
        <x:v>Explore Results Related to a Topic</x:v>
      </x:c>
      <x:c r="F70" s="19" t="str">
        <x:v>Authenticated member</x:v>
      </x:c>
      <x:c r="G70" s="13" t="str">
        <x:v>to search across users, projects, clubs, events, and career opportunities</x:v>
      </x:c>
      <x:c r="H70" s="19" t="str">
        <x:v>I can quickly find relevant information and opportunities on the platform.</x:v>
      </x:c>
      <x:c r="I70" s="13" t="str">
        <x:v>As an Authenticated Member, I want to search across users, projects, clubs, events, and career opportunities, so that I can quickly find relevant information and opportunities on the platform.</x:v>
      </x:c>
      <x:c r="J70" s="13" t="str">
        <x:v>- The query contains at least two characters.
- Users, Projects, Clubs, Events, and Career Opportunities are searched as specified; the Event model gap is tracked in the Consistency Audit sheet.
- Club results come from Club entities, not administrator profiles.
- Club results display name, category, logo, and description.
- Results are grouped by entity type and ranked by relevance.
- REMOVED Clubs are excluded; PUBLISHING_SUSPENDED Clubs remain visible.
- Selecting a Club result opens the Club profile.</x:v>
      </x:c>
      <x:c r="K70" s="15" t="str">
        <x:v>Low</x:v>
      </x:c>
      <x:c r="L70" s="15" t="str">
        <x:v>In Progress</x:v>
      </x:c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  <x:c r="W70" s="16"/>
      <x:c r="X70" s="16"/>
      <x:c r="Y70" s="16"/>
      <x:c r="Z70" s="16"/>
      <x:c r="AA70" s="16"/>
      <x:c r="AB70" s="16"/>
      <x:c r="AC70" s="16"/>
      <x:c r="AD70" s="16"/>
    </x:row>
    <x:row r="71" ht="22.5" customHeight="1">
      <x:c r="A71" s="22" t="n">
        <x:v>70</x:v>
      </x:c>
      <x:c r="B71" s="12" t="str">
        <x:v>FR_63</x:v>
      </x:c>
      <x:c r="C71" s="13" t="str">
        <x:v>The system shall allow a System Admin to search registered user accounts.</x:v>
      </x:c>
      <x:c r="D71" s="12" t="str">
        <x:v>US_63</x:v>
      </x:c>
      <x:c r="E71" s="14" t="str">
        <x:v>Locate an Account Requiring Action</x:v>
      </x:c>
      <x:c r="F71" s="19" t="str">
        <x:v>System Admin</x:v>
      </x:c>
      <x:c r="G71" s="19" t="str">
        <x:v>to search registered user accounts</x:v>
      </x:c>
      <x:c r="H71" s="19" t="str">
        <x:v>I can quickly find and manage specific users when needed</x:v>
      </x:c>
      <x:c r="I71" s="13" t="str">
        <x:v>As a System Admin, I want to search registered user accounts, so that I can quickly find and manage specific users when needed.</x:v>
      </x:c>
      <x:c r="J71" s="13" t="str">
        <x:v>- Search by name is available.
- Search by email is available.
- Role and account status are shown.
- Partial terms return matches.
- Selecting a result opens account details.</x:v>
      </x:c>
      <x:c r="K71" s="15" t="str">
        <x:v>Low</x:v>
      </x:c>
      <x:c r="L71" s="15" t="str">
        <x:v>To Do</x:v>
      </x:c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  <x:c r="W71" s="16"/>
      <x:c r="X71" s="16"/>
      <x:c r="Y71" s="16"/>
      <x:c r="Z71" s="16"/>
      <x:c r="AA71" s="16"/>
      <x:c r="AB71" s="16"/>
      <x:c r="AC71" s="16"/>
      <x:c r="AD71" s="16"/>
    </x:row>
    <x:row r="72" ht="22.5" customHeight="1">
      <x:c r="A72" s="22" t="n">
        <x:v>71</x:v>
      </x:c>
      <x:c r="B72" s="12" t="str">
        <x:v>FR_64</x:v>
      </x:c>
      <x:c r="C72" s="13" t="str">
        <x:v>The system shall allow a System Admin to suspend a registered user account.</x:v>
      </x:c>
      <x:c r="D72" s="12" t="str">
        <x:v>US_64</x:v>
      </x:c>
      <x:c r="E72" s="14" t="str">
        <x:v>Temporarily Restrict a User Account</x:v>
      </x:c>
      <x:c r="F72" s="19" t="str">
        <x:v>System Admin</x:v>
      </x:c>
      <x:c r="G72" s="19" t="str">
        <x:v>to suspend a registered user account</x:v>
      </x:c>
      <x:c r="H72" s="19" t="str">
        <x:v>I can temporarily restrict access for users who violate platform rules</x:v>
      </x:c>
      <x:c r="I72" s="13" t="str">
        <x:v>As a System Admin, I want to suspend a registered user account, so that I can temporarily restrict access for users who violate platform rules.</x:v>
      </x:c>
      <x:c r="J72" s="13" t="str">
        <x:v>- Only an ACTIVE SYSTEM_ADMIN may suspend an account.
- Explicit confirmation and a reason are required.
- AccountStatus becomes SUSPENDED.
- Every current AuthenticatedSession is revoked in the same transaction.
- The User immediately loses all protected platform and Club actions.
- The state change is recorded in immutable audit history.</x:v>
      </x:c>
      <x:c r="K72" s="15" t="str">
        <x:v>Low</x:v>
      </x:c>
      <x:c r="L72" s="15" t="str">
        <x:v>To Do</x:v>
      </x:c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  <x:c r="W72" s="16"/>
      <x:c r="X72" s="16"/>
      <x:c r="Y72" s="16"/>
      <x:c r="Z72" s="16"/>
      <x:c r="AA72" s="16"/>
      <x:c r="AB72" s="16"/>
      <x:c r="AC72" s="16"/>
      <x:c r="AD72" s="16"/>
    </x:row>
    <x:row r="73" ht="22.5" customHeight="1">
      <x:c r="A73" s="22" t="n">
        <x:v>72</x:v>
      </x:c>
      <x:c r="B73" s="12" t="str">
        <x:v>FR_65</x:v>
      </x:c>
      <x:c r="C73" s="13" t="str">
        <x:v>The system shall allow a System Admin to reactivate a suspended user account.</x:v>
      </x:c>
      <x:c r="D73" s="12" t="str">
        <x:v>US_65</x:v>
      </x:c>
      <x:c r="E73" s="14" t="str">
        <x:v>Restore a Suspended User’s Access</x:v>
      </x:c>
      <x:c r="F73" s="19" t="str">
        <x:v>System Admin</x:v>
      </x:c>
      <x:c r="G73" s="19" t="str">
        <x:v>to reactivate a suspended user account</x:v>
      </x:c>
      <x:c r="H73" s="19" t="str">
        <x:v>I can restore access for users after they have resolved the issues</x:v>
      </x:c>
      <x:c r="I73" s="13" t="str">
        <x:v>As a System Admin, I want to reactivate a suspended user account, so that I can restore access for users after they have resolved the issues.</x:v>
      </x:c>
      <x:c r="J73" s="13" t="str">
        <x:v>- Only an ACTIVE SYSTEM_ADMIN may reactivate a SUSPENDED account.
- AccountStatus becomes ACTIVE.
- Previously revoked AuthenticatedSessions remain revoked.
- The member must authenticate again to create a new session.
- The state change is recorded in immutable audit history.</x:v>
      </x:c>
      <x:c r="K73" s="15" t="str">
        <x:v>Low</x:v>
      </x:c>
      <x:c r="L73" s="15" t="str">
        <x:v>To Do</x:v>
      </x:c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  <x:c r="W73" s="16"/>
      <x:c r="X73" s="16"/>
      <x:c r="Y73" s="16"/>
      <x:c r="Z73" s="16"/>
      <x:c r="AA73" s="16"/>
      <x:c r="AB73" s="16"/>
      <x:c r="AC73" s="16"/>
      <x:c r="AD73" s="16"/>
    </x:row>
    <x:row r="74" ht="22.5" customHeight="1">
      <x:c r="A74" s="22" t="n">
        <x:v>73</x:v>
      </x:c>
      <x:c r="B74" s="12" t="str">
        <x:v>FR_66</x:v>
      </x:c>
      <x:c r="C74" s="13" t="str">
        <x:v>The system shall allow an ACTIVE SYSTEM_ADMIN to irreversibly anonymize an account that must be permanently removed while preserving required historical records.</x:v>
      </x:c>
      <x:c r="D74" s="12" t="str">
        <x:v>US_66</x:v>
      </x:c>
      <x:c r="E74" s="14" t="str">
        <x:v>Anonymize a Permanently Invalid Account</x:v>
      </x:c>
      <x:c r="F74" s="19" t="str">
        <x:v>System Administrator</x:v>
      </x:c>
      <x:c r="G74" s="19" t="str">
        <x:v>to irreversibly anonymize an account that must be permanently removed</x:v>
      </x:c>
      <x:c r="H74" s="19" t="str">
        <x:v>the person's access and identifying data are removed without destroying required system history</x:v>
      </x:c>
      <x:c r="I74" s="13" t="str">
        <x:v>As a System Administrator, I want to irreversibly anonymize an account that must be permanently removed so that access and identifying data are removed while required history remains auditable.</x:v>
      </x:c>
      <x:c r="J74" s="13" t="str">
        <x:v>- Only an ACTIVE SYSTEM_ADMIN may anonymize an account.
- Explicit confirmation and a documented reason are required.
- Existing authenticated sessions are revoked atomically.
- AccountStatus becomes ANONYMIZED and can never return to ACTIVE.
- Login credentials and verification/reset tokens are invalidated.
- Direct identifiers are removed or replaced with non-identifying values.
- Historical messages, memberships, publications, moderation actions, and audit records are retained with anonymized attribution where required.
- The account cannot log in, receive authority, or perform protected actions.</x:v>
      </x:c>
      <x:c r="K74" s="15" t="str">
        <x:v>Low</x:v>
      </x:c>
      <x:c r="L74" s="15" t="str">
        <x:v>To Do</x:v>
      </x:c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  <x:c r="W74" s="16"/>
      <x:c r="X74" s="16"/>
      <x:c r="Y74" s="16"/>
      <x:c r="Z74" s="16"/>
      <x:c r="AA74" s="16"/>
      <x:c r="AB74" s="16"/>
      <x:c r="AC74" s="16"/>
      <x:c r="AD74" s="16"/>
    </x:row>
    <x:row r="75" ht="22.5" customHeight="1">
      <x:c r="A75" s="22" t="n">
        <x:v>74</x:v>
      </x:c>
      <x:c r="B75" s="12" t="str">
        <x:v>FR_67</x:v>
      </x:c>
      <x:c r="C75" s="13" t="str">
        <x:v>The system shall allow an authenticated ACTIVE, non-anonymized user to submit a report about an accessible supported target and allow SYSTEM_ADMINISTRATION reviewers to resolve it with retained evidence and reporter notification.</x:v>
      </x:c>
      <x:c r="D75" s="12" t="str">
        <x:v>US_67</x:v>
      </x:c>
      <x:c r="E75" s="14" t="str">
        <x:v>Submit and Review a Content Report</x:v>
      </x:c>
      <x:c r="F75" s="19" t="str">
        <x:v>Authenticated member / System Administrator</x:v>
      </x:c>
      <x:c r="G75" s="19" t="str">
        <x:v>to submit or review an accessible content report through its lifecycle</x:v>
      </x:c>
      <x:c r="H75" s="19" t="str">
        <x:v>reported content can be reviewed consistently while history and privacy are preserved.</x:v>
      </x:c>
      <x:c r="I75" s="13" t="str">
        <x:v>As an authenticated member, I want to report accessible content and receive a resolution summary; as a System Administrator, I want to review the retained evidence and resolve the report consistently.</x:v>
      </x:c>
      <x:c r="J75" s="13" t="str">
        <x:v>- Any authenticated ACTIVE, non-anonymized user may submit regardless of selected context.
- Supported targets are USER, CLUB, ANNOUNCEMENT, EVENT, and CHAT_MESSAGE; projects and career posts remain deferred until their modules exist.
- The reporter must be able to access the target; inaccessible and nonexistent targets both return 404.
- Minimal immutable evidence is captured through the owning module and is never returned in reporter DTOs.
- One open report is allowed per reporter and target; different reporters remain independent and a later report is allowed after closure.
- Lifecycle is SUBMITTED → UNDER_REVIEW → ACTION_TAKEN or NO_ACTION.
- The first SYSTEM_ADMINISTRATION reviewer owns resolution; concurrent claims and decisions cannot overwrite each other.
- Both outcomes require a reporter-visible resolution summary; internal notes and action details remain administrator-only.
- Resolution, transition audit, optional action link, and one REPORT_RESOLVED notification commit atomically.
- Identical retries create no duplicate audit or notification; conflicting terminal outcomes return 409.</x:v>
      </x:c>
      <x:c r="K75" s="15" t="str">
        <x:v>Medium</x:v>
      </x:c>
      <x:c r="L75" s="15" t="str">
        <x:v>To Do</x:v>
      </x:c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  <x:c r="W75" s="16"/>
      <x:c r="X75" s="16"/>
      <x:c r="Y75" s="16"/>
      <x:c r="Z75" s="16"/>
      <x:c r="AA75" s="16"/>
      <x:c r="AB75" s="16"/>
      <x:c r="AC75" s="16"/>
      <x:c r="AD75" s="16"/>
    </x:row>
    <x:row r="76" ht="22.5" customHeight="1">
      <x:c r="A76" s="22" t="n">
        <x:v>75</x:v>
      </x:c>
      <x:c r="B76" s="12" t="str">
        <x:v>FR_68</x:v>
      </x:c>
      <x:c r="C76" s="13" t="str">
        <x:v>The system shall allow the reviewing ACTIVE SYSTEM_ADMIN to resolve a report as ACTION_TAKEN only by linking an already committed qualifying action verified through its owning module.</x:v>
      </x:c>
      <x:c r="D76" s="12" t="str">
        <x:v>US_68</x:v>
      </x:c>
      <x:c r="E76" s="14" t="str">
        <x:v>Resolve a Report with Verified Action Evidence</x:v>
      </x:c>
      <x:c r="F76" s="19" t="str">
        <x:v>Reviewing System Administrator</x:v>
      </x:c>
      <x:c r="G76" s="19" t="str">
        <x:v>to link a qualifying committed action when resolving a report</x:v>
      </x:c>
      <x:c r="H76" s="19" t="str">
        <x:v>the report records what addressed it without granting or repeating moderation permissions.</x:v>
      </x:c>
      <x:c r="I76" s="13" t="str">
        <x:v>As the reviewing System Administrator, I want to link a verified action already committed through its owning module, so that the report records its outcome without executing another moderation action.</x:v>
      </x:c>
      <x:c r="J76" s="13" t="str">
        <x:v>- Resolution never executes a moderation action and never infers evidence from current target status.
- USER accepts suspension of that account.
- CLUB accepts publishing suspension or removal of that club.
- ANNOUNCEMENT and EVENT accept removal by an existing authorized club operator, suspension of the captured author, or publishing suspension/removal of the captured parent club.
- CHAT_MESSAGE accepts suspension of the captured sender.
- Server-side checks verify the retained audit, target/author/club relationship, and that the action was not already reversed at resolution time.
- Existing permissions for account, club, and publication actions remain unchanged; no administrative chat hiding, warning, or new publication-removal permission is created.
- Historical action identity remains linked if the action is reversed later.</x:v>
      </x:c>
      <x:c r="K76" s="15" t="str">
        <x:v>Medium</x:v>
      </x:c>
      <x:c r="L76" s="15" t="str">
        <x:v>To Do</x:v>
      </x:c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  <x:c r="W76" s="16"/>
      <x:c r="X76" s="16"/>
      <x:c r="Y76" s="16"/>
      <x:c r="Z76" s="16"/>
      <x:c r="AA76" s="16"/>
      <x:c r="AB76" s="16"/>
      <x:c r="AC76" s="16"/>
      <x:c r="AD76" s="16"/>
    </x:row>
    <x:row r="77" ht="22.5" customHeight="1">
      <x:c r="A77" s="22" t="n">
        <x:v>76</x:v>
      </x:c>
      <x:c r="B77" s="12" t="str">
        <x:v>FR_69</x:v>
      </x:c>
      <x:c r="C77" s="13" t="str">
        <x:v>The system shall allow a System Admin to issue a warning to a member responsible for inappropriate content.</x:v>
      </x:c>
      <x:c r="D77" s="12" t="str">
        <x:v>US_69</x:v>
      </x:c>
      <x:c r="E77" s="14" t="str">
        <x:v>Warn a Member About a Violation</x:v>
      </x:c>
      <x:c r="F77" s="23" t="str">
        <x:v>System Admin</x:v>
      </x:c>
      <x:c r="G77" s="23" t="str">
        <x:v> to issue a documented warning to a member responsible for inappropriate content</x:v>
      </x:c>
      <x:c r="H77" s="23" t="str">
        <x:v>the member understands the rule and has an opportunity to correct their behaviour.</x:v>
      </x:c>
      <x:c r="I77" s="13" t="str">
        <x:v>As a System Admin, I want to issue a documented warning to a member responsible for inappropriate content so that the
member understands the rule and has an opportunity to correct their behaviour.</x:v>
      </x:c>
      <x:c r="J77" s="13" t="str">
        <x:v>- Only an ACTIVE SYSTEM_ADMIN may issue the warning.
- A reason is required and the warning targets exactly one User.
- The member receives one notification event.
- The warning is recorded as a typed ModerationAction and immutable AuditLog entry.
- Previous warnings remain visible to authorized administrators.</x:v>
      </x:c>
      <x:c r="K77" s="15" t="str">
        <x:v>Low</x:v>
      </x:c>
      <x:c r="L77" s="15" t="str">
        <x:v>To Do</x:v>
      </x:c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  <x:c r="W77" s="16"/>
      <x:c r="X77" s="16"/>
      <x:c r="Y77" s="16"/>
      <x:c r="Z77" s="16"/>
      <x:c r="AA77" s="16"/>
      <x:c r="AB77" s="16"/>
      <x:c r="AC77" s="16"/>
      <x:c r="AD77" s="16"/>
    </x:row>
    <x:row r="78" ht="22.5" customHeight="1">
      <x:c r="A78" s="22" t="n">
        <x:v>77</x:v>
      </x:c>
      <x:c r="B78" s="12" t="str">
        <x:v>FR_70</x:v>
      </x:c>
      <x:c r="C78" s="13" t="str">
        <x:v>The system shall allow an ACTIVE SYSTEM_ADMIN to set a Club's status to PUBLISHING_SUSPENDED.</x:v>
      </x:c>
      <x:c r="D78" s="12" t="str">
        <x:v>US_70</x:v>
      </x:c>
      <x:c r="E78" s="14" t="str">
        <x:v>Suspend a Club's Publishing Access</x:v>
      </x:c>
      <x:c r="F78" s="23" t="str">
        <x:v>System Admin investigating a club that has violated platform rules</x:v>
      </x:c>
      <x:c r="G78" s="23" t="str">
        <x:v>to suspend its publishing
access</x:v>
      </x:c>
      <x:c r="H78" s="23" t="str">
        <x:v>no new official content appears while the issue is reviewed.</x:v>
      </x:c>
      <x:c r="I78" s="13" t="str">
        <x:v>As a System Admin investigating a club that has violated platform rules, I want to suspend its publishing
access so that no new official content appears while the issue is reviewed.</x:v>
      </x:c>
      <x:c r="J78" s="13" t="str">
        <x:v>- Only an ACTIVE SYSTEM_ADMIN may suspend publishing.
- ClubStatus becomes PUBLISHING_SUSPENDED and the reason/state change is audited.
- New Club publications are blocked.
- The Club profile and already-published announcements remain visible.
- If suspension resulted from an unavailable administrator, restoration requires exactly one eligible current CLUB_ADMINISTRATOR. Reactivating the original administrator may satisfy eligibility, but account reactivation does not restore publishing; an authorized SYSTEM_ADMIN must explicitly restore it under FR_83.</x:v>
      </x:c>
      <x:c r="K78" s="15" t="str">
        <x:v>High</x:v>
      </x:c>
      <x:c r="L78" s="15" t="str">
        <x:v>To Do</x:v>
      </x:c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  <x:c r="W78" s="16"/>
      <x:c r="X78" s="16"/>
      <x:c r="Y78" s="16"/>
      <x:c r="Z78" s="16"/>
      <x:c r="AA78" s="16"/>
      <x:c r="AB78" s="16"/>
      <x:c r="AC78" s="16"/>
      <x:c r="AD78" s="16"/>
    </x:row>
    <x:row r="79" ht="22.5" customHeight="1">
      <x:c r="A79" s="22" t="n">
        <x:v>78</x:v>
      </x:c>
      <x:c r="B79" s="12" t="str">
        <x:v>FR_71</x:v>
      </x:c>
      <x:c r="C79" s="13" t="str">
        <x:v>The system shall allow an ACTIVE SYSTEM_ADMIN to remove a Club after confirmation while preserving historical records.</x:v>
      </x:c>
      <x:c r="D79" s="12" t="str">
        <x:v>US_71</x:v>
      </x:c>
      <x:c r="E79" s="14" t="str">
        <x:v>Remove an Invalid Club</x:v>
      </x:c>
      <x:c r="F79" s="23" t="str">
        <x:v>System Admin</x:v>
      </x:c>
      <x:c r="G79" s="23" t="str">
        <x:v>to remove a duplicate, dissolved, or invalid club profile after confirmation</x:v>
      </x:c>
      <x:c r="H79" s="23" t="str">
        <x:v>obsolete organizations are removed from the platform.</x:v>
      </x:c>
      <x:c r="I79" s="13" t="str">
        <x:v>As a System Admin, I want to remove a duplicate, dissolved, or invalid club profile after confirmation so that obsolete organizations are removed from the platform.</x:v>
      </x:c>
      <x:c r="J79" s="13" t="str">
        <x:v>- Only an ACTIVE SYSTEM_ADMIN may remove a Club.
- Explicit confirmation and a reason are required.
- ClubStatus becomes REMOVED.
- The Club and its announcements disappear from normal public access.
- Club, assignment, announcement, moderation, and audit history are preserved.
- The state change is recorded in immutable audit history.</x:v>
      </x:c>
      <x:c r="K79" s="15" t="str">
        <x:v>High</x:v>
      </x:c>
      <x:c r="L79" s="15" t="str">
        <x:v>To Do</x:v>
      </x:c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  <x:c r="W79" s="16"/>
      <x:c r="X79" s="16"/>
      <x:c r="Y79" s="16"/>
      <x:c r="Z79" s="16"/>
      <x:c r="AA79" s="16"/>
      <x:c r="AB79" s="16"/>
      <x:c r="AC79" s="16"/>
      <x:c r="AD79" s="16"/>
    </x:row>
    <x:row r="80" ht="22.5" customHeight="1">
      <x:c r="A80" s="22" t="n">
        <x:v>79</x:v>
      </x:c>
      <x:c r="B80" s="12" t="str">
        <x:v>FR_72</x:v>
      </x:c>
      <x:c r="C80" s="13" t="str">
        <x:v> The system shall generate an in-app notification when a relevant platform or club activity
affects a member.</x:v>
      </x:c>
      <x:c r="D80" s="12" t="str">
        <x:v>US_72.1</x:v>
      </x:c>
      <x:c r="E80" s="14" t="str">
        <x:v>Receive Notifications Requiring Attention</x:v>
      </x:c>
      <x:c r="F80" s="23" t="str">
        <x:v>registered member</x:v>
      </x:c>
      <x:c r="G80" s="23" t="str">
        <x:v>notifications for activities that require my attention, such as connection
requests, project decisions, and mentorship changes</x:v>
      </x:c>
      <x:c r="H80" s="23" t="str">
        <x:v>I can respond promptly.</x:v>
      </x:c>
      <x:c r="I80" s="13" t="str">
        <x:v>As a registered member, I want notifications for activities that require my attention, such as connection
requests, project decisions, and mentorship changes, so that I can respond promptly.</x:v>
      </x:c>
      <x:c r="J80" s="13" t="str">
        <x:v>- Each Notification has exactly one recipient and one eventKey.
- The pair (recipient, eventKey) is unique to prevent duplicate delivery for one event.
- Notifications cover new connection requests, project decisions, and relevant mentorship enrollment/schedule changes.
- Unread Notifications are visually distinguished.
- Marking a Notification as read records readAt.
- Notification delivery never grants authority.</x:v>
      </x:c>
      <x:c r="K80" s="15" t="str">
        <x:v>Low</x:v>
      </x:c>
      <x:c r="L80" s="15" t="str">
        <x:v>To Do</x:v>
      </x:c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  <x:c r="W80" s="16"/>
      <x:c r="X80" s="16"/>
      <x:c r="Y80" s="16"/>
      <x:c r="Z80" s="16"/>
      <x:c r="AA80" s="16"/>
      <x:c r="AB80" s="16"/>
      <x:c r="AC80" s="16"/>
      <x:c r="AD80" s="16"/>
    </x:row>
    <x:row r="81" ht="22.5" customHeight="1">
      <x:c r="A81" s="22" t="n">
        <x:v>80</x:v>
      </x:c>
      <x:c r="B81" s="12" t="str">
        <x:v>FR_72</x:v>
      </x:c>
      <x:c r="C81" s="13" t="str">
        <x:v> The system shall generate an in-app notification when a relevant platform or club activity
affects a member.</x:v>
      </x:c>
      <x:c r="D81" s="12" t="str">
        <x:v>US_72.2</x:v>
      </x:c>
      <x:c r="E81" s="14" t="str">
        <x:v>Receive Club Access Change Notifications</x:v>
      </x:c>
      <x:c r="F81" s="23" t="str">
        <x:v>user assigned to operate a club</x:v>
      </x:c>
      <x:c r="G81" s="23" t="str">
        <x:v>to be notified when that role is granted or revoked
</x:v>
      </x:c>
      <x:c r="H81" s="23" t="str">
        <x:v>I understand which Club dashboards and responsibilities are available to me.
</x:v>
      </x:c>
      <x:c r="I81" s="13" t="str">
        <x:v>As a user assigned to operate a club, I want to be notified when that role is granted or revoked so that I
understand which Club dashboards and responsibilities are available to me.
</x:v>
      </x:c>
      <x:c r="J81" s="13" t="str">
        <x:v>- One notification event is generated when CLUB_ADMINISTRATOR or REPRESENTATIVE access is granted.
- One notification event is generated when a ClubRoleAssignment is revoked.
- The Notification identifies the affected Club and ClubRole.
- Revoked authority and its CLUB context disappear immediately, independently of notification delivery.
- The Notification cannot restore the assignment or bypass authorization.</x:v>
      </x:c>
      <x:c r="K81" s="15" t="str">
        <x:v>Medium</x:v>
      </x:c>
      <x:c r="L81" s="15" t="str">
        <x:v>In Progress</x:v>
      </x:c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  <x:c r="W81" s="16"/>
      <x:c r="X81" s="16"/>
      <x:c r="Y81" s="16"/>
      <x:c r="Z81" s="16"/>
      <x:c r="AA81" s="16"/>
      <x:c r="AB81" s="16"/>
      <x:c r="AC81" s="16"/>
      <x:c r="AD81" s="16"/>
    </x:row>
    <x:row r="82" ht="22.5" customHeight="1">
      <x:c r="A82" s="22" t="n">
        <x:v>81</x:v>
      </x:c>
      <x:c r="B82" s="12" t="str">
        <x:v>FR_78</x:v>
      </x:c>
      <x:c r="C82" s="13" t="str">
        <x:v>The system shall allow a Notification recipient to open its related item only after current authorization is revalidated.</x:v>
      </x:c>
      <x:c r="D82" s="12" t="str">
        <x:v>US_78</x:v>
      </x:c>
      <x:c r="E82" s="14" t="str">
        <x:v>Open the Item Related to a Notification</x:v>
      </x:c>
      <x:c r="F82" s="23" t="str">
        <x:v>Notification recipient</x:v>
      </x:c>
      <x:c r="G82" s="23" t="str">
        <x:v>to open the item related to a notification</x:v>
      </x:c>
      <x:c r="H82" s="23" t="str">
        <x:v>I can act on it without searching manually when I still have access.</x:v>
      </x:c>
      <x:c r="I82" s="13" t="str">
        <x:v>As a Notification recipient, I want to open the item related to a notification so that I can act on it without searching manually when I still have access.</x:v>
      </x:c>
      <x:c r="J82" s="13" t="str">
        <x:v>- Selecting a Notification opens its typed related item when the item exists and remains accessible.
- Current AccountStatus, session, context, and resource authorization are rechecked.
- Revoked access is not restored or bypassed.
- An unavailable or removed target produces a clear message.
- Opening may set readAt according to configured behavior.</x:v>
      </x:c>
      <x:c r="K82" s="15" t="str">
        <x:v>Medium</x:v>
      </x:c>
      <x:c r="L82" s="15" t="str">
        <x:v>To Do</x:v>
      </x:c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  <x:c r="W82" s="16"/>
      <x:c r="X82" s="16"/>
      <x:c r="Y82" s="16"/>
      <x:c r="Z82" s="16"/>
      <x:c r="AA82" s="16"/>
      <x:c r="AB82" s="16"/>
      <x:c r="AC82" s="16"/>
      <x:c r="AD82" s="16"/>
    </x:row>
    <x:row r="83">
      <x:c r="A83" s="103" t="n">
        <x:v>82</x:v>
      </x:c>
      <x:c r="B83" s="103" t="str">
        <x:v>FR_79</x:v>
      </x:c>
      <x:c r="C83" s="104" t="str">
        <x:v>The system shall allow either participant to delete a selected Message only from their own conversation view.</x:v>
      </x:c>
      <x:c r="D83" s="104" t="str">
        <x:v>US_79</x:v>
      </x:c>
      <x:c r="E83" s="104" t="str">
        <x:v>Delete a Message for Myself</x:v>
      </x:c>
      <x:c r="F83" s="103" t="str">
        <x:v>Conversation participant</x:v>
      </x:c>
      <x:c r="G83" s="104" t="str">
        <x:v>to remove a message from only my own view</x:v>
      </x:c>
      <x:c r="H83" s="104" t="str">
        <x:v>I can control my personal conversation display without altering the other participant's history.</x:v>
      </x:c>
      <x:c r="I83" s="104" t="str">
        <x:v>As a conversation participant, I want to remove a message from only my own view so that I can control my personal conversation display without altering the other participant's history.</x:v>
      </x:c>
      <x:c r="J83" s="105" t="str">
        <x:v>- The requester is one of the Conversation's two participants.
- Either the sender or recipient may perform delete-for-self.
- deletedForSelfAt is set only in that participant's MessageParticipantState.
- The Message remains visible to the other participant unless separately hidden there or deleted for everyone.
- The Message record and audit-relevant metadata are preserved.</x:v>
      </x:c>
      <x:c r="K83" s="105" t="str">
        <x:v>Medium</x:v>
      </x:c>
      <x:c r="L83" s="105" t="str">
        <x:v>To Do</x:v>
      </x:c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  <x:c r="W83" s="16"/>
      <x:c r="X83" s="16"/>
      <x:c r="Y83" s="16"/>
      <x:c r="Z83" s="16"/>
      <x:c r="AA83" s="16"/>
      <x:c r="AB83" s="16"/>
      <x:c r="AC83" s="16"/>
      <x:c r="AD83" s="16"/>
    </x:row>
    <x:row r="84">
      <x:c r="A84" s="103" t="n">
        <x:v>83</x:v>
      </x:c>
      <x:c r="B84" s="103" t="str">
        <x:v>FR_80</x:v>
      </x:c>
      <x:c r="C84" s="104" t="str">
        <x:v>The system shall allow a Message sender to delete that Message for both conversation participants without a time limit.</x:v>
      </x:c>
      <x:c r="D84" s="104" t="str">
        <x:v>US_80</x:v>
      </x:c>
      <x:c r="E84" s="104" t="str">
        <x:v>Delete My Message for Everyone</x:v>
      </x:c>
      <x:c r="F84" s="104" t="str">
        <x:v>Message sender</x:v>
      </x:c>
      <x:c r="G84" s="104" t="str">
        <x:v>to delete a message I sent for both participants</x:v>
      </x:c>
      <x:c r="H84" s="104" t="str">
        <x:v>incorrect or inappropriate content is hidden from both conversation views.</x:v>
      </x:c>
      <x:c r="I84" s="104" t="str">
        <x:v>As a Message sender, I want to delete a message I sent for both participants so that incorrect or inappropriate content is hidden from both conversation views.</x:v>
      </x:c>
      <x:c r="J84" s="105" t="str">
        <x:v>- Only the Message sender may delete it for everyone.
- No deletion time limit applies in the current version.
- deletedForEveryoneAt is set once.
- Message content is hidden from both participants while the historical record is preserved.
- A recipient cannot delete the sender's Message for everyone.</x:v>
      </x:c>
      <x:c r="K84" s="105" t="str">
        <x:v>High</x:v>
      </x:c>
      <x:c r="L84" s="105" t="str">
        <x:v>To Do</x:v>
      </x:c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  <x:c r="W84" s="16"/>
      <x:c r="X84" s="16"/>
      <x:c r="Y84" s="16"/>
      <x:c r="Z84" s="16"/>
      <x:c r="AA84" s="16"/>
      <x:c r="AB84" s="16"/>
      <x:c r="AC84" s="16"/>
      <x:c r="AD84" s="16"/>
    </x:row>
    <x:row r="85">
      <x:c r="A85" s="103" t="n">
        <x:v>84</x:v>
      </x:c>
      <x:c r="B85" s="103" t="str">
        <x:v>FR_81</x:v>
      </x:c>
      <x:c r="C85" s="104" t="str">
        <x:v>The system shall allow the ACTIVE Alumni author of a PUBLISHED JobPost to edit its permitted details.</x:v>
      </x:c>
      <x:c r="D85" s="104" t="str">
        <x:v>US_81</x:v>
      </x:c>
      <x:c r="E85" s="104" t="str">
        <x:v>Update My Career Opportunity</x:v>
      </x:c>
      <x:c r="F85" s="104" t="str">
        <x:v>Active Alumni JobPost author</x:v>
      </x:c>
      <x:c r="G85" s="104" t="str">
        <x:v>to edit my published career post</x:v>
      </x:c>
      <x:c r="H85" s="104" t="str">
        <x:v>its details remain accurate for Students.</x:v>
      </x:c>
      <x:c r="I85" s="104" t="str">
        <x:v>As an active Alumni JobPost author, I want to edit my published career post so that its details remain accurate for Students.</x:v>
      </x:c>
      <x:c r="J85" s="105" t="str">
        <x:v>- Only the author may edit the JobPost.
- The JobPost has status PUBLISHED.
- Required fields remain valid and at least one application channel remains available.
- Valid changes update updatedAt and appear immediately.
- CLOSED, REMOVED, or expired posts cannot be edited through this operation.</x:v>
      </x:c>
      <x:c r="K85" s="105" t="str">
        <x:v>Medium</x:v>
      </x:c>
      <x:c r="L85" s="105" t="str">
        <x:v>To Do</x:v>
      </x:c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  <x:c r="W85" s="16"/>
      <x:c r="X85" s="16"/>
      <x:c r="Y85" s="16"/>
      <x:c r="Z85" s="16"/>
      <x:c r="AA85" s="16"/>
      <x:c r="AB85" s="16"/>
      <x:c r="AC85" s="16"/>
      <x:c r="AD85" s="16"/>
    </x:row>
    <x:row r="86">
      <x:c r="A86" s="103" t="n">
        <x:v>85</x:v>
      </x:c>
      <x:c r="B86" s="103" t="str">
        <x:v>FR_82</x:v>
      </x:c>
      <x:c r="C86" s="104" t="str">
        <x:v>The system shall allow the ACTIVE Alumni author of a PUBLISHED JobPost to close it permanently to new applications.</x:v>
      </x:c>
      <x:c r="D86" s="104" t="str">
        <x:v>US_82</x:v>
      </x:c>
      <x:c r="E86" s="104" t="str">
        <x:v>Close My Career Opportunity</x:v>
      </x:c>
      <x:c r="F86" s="104" t="str">
        <x:v>Active Alumni JobPost author</x:v>
      </x:c>
      <x:c r="G86" s="104" t="str">
        <x:v>to close my published career post</x:v>
      </x:c>
      <x:c r="H86" s="104" t="str">
        <x:v>Students no longer attempt to apply after recruitment ends.</x:v>
      </x:c>
      <x:c r="I86" s="104" t="str">
        <x:v>As an active Alumni JobPost author, I want to close my published career post so that Students no longer attempt to apply after recruitment ends.</x:v>
      </x:c>
      <x:c r="J86" s="105" t="str">
        <x:v>- Only the author may close the JobPost.
- The JobPost has status PUBLISHED.
- Closing sets JobPostStatus = CLOSED and closedAt.
- The post leaves active browsing and no application action remains available.
- Existing SavedJob bookmarks remain.
- The author cannot reopen or delete the post in the current scope.</x:v>
      </x:c>
      <x:c r="K86" s="105" t="str">
        <x:v>Medium</x:v>
      </x:c>
      <x:c r="L86" s="105" t="str">
        <x:v>To Do</x:v>
      </x:c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  <x:c r="W86" s="16"/>
      <x:c r="X86" s="16"/>
      <x:c r="Y86" s="16"/>
      <x:c r="Z86" s="16"/>
      <x:c r="AA86" s="16"/>
      <x:c r="AB86" s="16"/>
      <x:c r="AC86" s="16"/>
      <x:c r="AD86" s="16"/>
    </x:row>
    <x:row r="87" ht="156" hidden="0" customHeight="1">
      <x:c r="A87" s="100" t="n">
        <x:v>86</x:v>
      </x:c>
      <x:c r="B87" s="100" t="str">
        <x:v>FR_83</x:v>
      </x:c>
      <x:c r="C87" s="101" t="str">
        <x:v>The system shall allow an ACTIVE SYSTEM_ADMIN to restore publishing for a PUBLISHING_SUSPENDED Club after the suspension cause is resolved and the Club has an eligible current administrator.</x:v>
      </x:c>
      <x:c r="D87" s="101" t="str">
        <x:v>US_83</x:v>
      </x:c>
      <x:c r="E87" s="101" t="str">
        <x:v>Restore Club Publishing</x:v>
      </x:c>
      <x:c r="F87" s="101" t="str">
        <x:v>System Administrator</x:v>
      </x:c>
      <x:c r="G87" s="101" t="str">
        <x:v>to restore a suspended Club's publishing access</x:v>
      </x:c>
      <x:c r="H87" s="101" t="str">
        <x:v>authorized Club operators can resume publishing after the problem is resolved</x:v>
      </x:c>
      <x:c r="I87" s="101" t="str">
        <x:v>As a System Administrator, I want to restore a suspended Club's publishing access so that authorized Club operators can resume publishing after the problem is resolved.</x:v>
      </x:c>
      <x:c r="J87" s="102" t="str">
        <x:v>- Only an ACTIVE SYSTEM_ADMIN may restore publishing.
- The Club currently has status PUBLISHING_SUSPENDED.
- A reason or resolution note is required.
- The Club has exactly one eligible current CLUB_ADMINISTRATOR; this may be the original administrator after account reactivation.
- Account reactivation never restores Club publishing; restoration is this explicit action.
- ClubStatus becomes ACTIVE.
- Authorized operators may publish again.
- The state change is recorded in immutable audit history and produces one informational notification event.</x:v>
      </x:c>
      <x:c r="K87" s="102" t="str">
        <x:v>Medium</x:v>
      </x:c>
      <x:c r="L87" s="102" t="str">
        <x:v>To Do</x:v>
      </x:c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  <x:c r="W87" s="16"/>
      <x:c r="X87" s="16"/>
      <x:c r="Y87" s="16"/>
      <x:c r="Z87" s="16"/>
      <x:c r="AA87" s="16"/>
      <x:c r="AB87" s="16"/>
      <x:c r="AC87" s="16"/>
      <x:c r="AD87" s="16"/>
    </x:row>
    <x:row r="88" ht="132" hidden="0" customHeight="1">
      <x:c r="A88" s="100" t="n">
        <x:v>87</x:v>
      </x:c>
      <x:c r="B88" s="100" t="str">
        <x:v>FR_84</x:v>
      </x:c>
      <x:c r="C88" s="101" t="str">
        <x:v>The system shall allow an authorized Club operator to save a new Announcement as an UNPUBLISHED draft.</x:v>
      </x:c>
      <x:c r="D88" s="101" t="str">
        <x:v>US_84</x:v>
      </x:c>
      <x:c r="E88" s="101" t="str">
        <x:v>Save an Announcement Draft</x:v>
      </x:c>
      <x:c r="F88" s="101" t="str">
        <x:v>Authorized Club operator</x:v>
      </x:c>
      <x:c r="G88" s="101" t="str">
        <x:v>to save an Announcement without publishing it</x:v>
      </x:c>
      <x:c r="H88" s="101" t="str">
        <x:v>I can prepare and review content before it becomes public</x:v>
      </x:c>
      <x:c r="I88" s="101" t="str">
        <x:v>As an authorized Club operator, I want to save an Announcement without publishing it so that I can prepare and review content before it becomes public.</x:v>
      </x:c>
      <x:c r="J88" s="102" t="str">
        <x:v>- The User is ACTIVE and has a current assignment in the selected Club.
- ClubStatus is ACTIVE.
- Required draft fields are valid.
- AnnouncementStatus is UNPUBLISHED.
- publishedAt is empty.
- The draft is excluded from public feeds and search results.
- The draft remains available to authorized operators of its Club.</x:v>
      </x:c>
      <x:c r="K88" s="102" t="str">
        <x:v>Medium</x:v>
      </x:c>
      <x:c r="L88" s="102" t="str">
        <x:v>To Do</x:v>
      </x:c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  <x:c r="W88" s="16"/>
      <x:c r="X88" s="16"/>
      <x:c r="Y88" s="16"/>
      <x:c r="Z88" s="16"/>
      <x:c r="AA88" s="16"/>
      <x:c r="AB88" s="16"/>
      <x:c r="AC88" s="16"/>
      <x:c r="AD88" s="16"/>
    </x:row>
    <x:row r="89" ht="156" hidden="0" customHeight="1">
      <x:c r="A89" s="100" t="n">
        <x:v>88</x:v>
      </x:c>
      <x:c r="B89" s="100" t="str">
        <x:v>FR_85</x:v>
      </x:c>
      <x:c r="C89" s="101" t="str">
        <x:v>The system shall allow an authorized Club operator to publish an UNPUBLISHED Announcement they are permitted to manage.</x:v>
      </x:c>
      <x:c r="D89" s="101" t="str">
        <x:v>US_85</x:v>
      </x:c>
      <x:c r="E89" s="101" t="str">
        <x:v>Publish an Announcement Draft</x:v>
      </x:c>
      <x:c r="F89" s="101" t="str">
        <x:v>Authorized Club operator</x:v>
      </x:c>
      <x:c r="G89" s="101" t="str">
        <x:v>to publish an approved Announcement draft</x:v>
      </x:c>
      <x:c r="H89" s="101" t="str">
        <x:v>the Club update becomes visible to all UniConnect users</x:v>
      </x:c>
      <x:c r="I89" s="101" t="str">
        <x:v>As an authorized Club operator, I want to publish an approved Announcement draft so that the Club update becomes visible to all UniConnect users.</x:v>
      </x:c>
      <x:c r="J89" s="102" t="str">
        <x:v>- The User is ACTIVE and is permitted to manage the Announcement.
- ClubStatus is ACTIVE.
- AnnouncementStatus is UNPUBLISHED.
- Required content remains valid.
- AnnouncementStatus becomes PUBLISHED and publishedAt records the publication time.
- The Announcement becomes visible in the public feed.
- Repeated publication requests do not create duplicate notifications.</x:v>
      </x:c>
      <x:c r="K89" s="102" t="str">
        <x:v>High</x:v>
      </x:c>
      <x:c r="L89" s="102" t="str">
        <x:v>To Do</x:v>
      </x:c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  <x:c r="W89" s="16"/>
      <x:c r="X89" s="16"/>
      <x:c r="Y89" s="16"/>
      <x:c r="Z89" s="16"/>
      <x:c r="AA89" s="16"/>
      <x:c r="AB89" s="16"/>
      <x:c r="AC89" s="16"/>
      <x:c r="AD89" s="16"/>
    </x:row>
    <x:row r="90" ht="156" hidden="0" customHeight="1">
      <x:c r="A90" s="100" t="n">
        <x:v>89</x:v>
      </x:c>
      <x:c r="B90" s="100" t="str">
        <x:v>FR_86</x:v>
      </x:c>
      <x:c r="C90" s="101" t="str">
        <x:v>The system shall allow an authorized Club operator to unpublish a PUBLISHED Announcement they are permitted to manage while preserving its history.</x:v>
      </x:c>
      <x:c r="D90" s="101" t="str">
        <x:v>US_86</x:v>
      </x:c>
      <x:c r="E90" s="101" t="str">
        <x:v>Unpublish a Club Announcement</x:v>
      </x:c>
      <x:c r="F90" s="101" t="str">
        <x:v>Authorized Club operator</x:v>
      </x:c>
      <x:c r="G90" s="101" t="str">
        <x:v>to withdraw a published Announcement without deleting it</x:v>
      </x:c>
      <x:c r="H90" s="101" t="str">
        <x:v>temporarily unsuitable content disappears from public view while its history is preserved</x:v>
      </x:c>
      <x:c r="I90" s="101" t="str">
        <x:v>As an authorized Club operator, I want to withdraw a published Announcement without deleting it so that it disappears from public view while its history is preserved.</x:v>
      </x:c>
      <x:c r="J90" s="102" t="str">
        <x:v>- The User is ACTIVE and is permitted to manage the Announcement.
- AnnouncementStatus is PUBLISHED.
- Confirmation is required.
- AnnouncementStatus becomes UNPUBLISHED.
- The Announcement is removed from public feeds and search results.
- Its identity, author, publication time, and audit history are preserved.
- The Announcement may later be edited and republished by an authorized operator.</x:v>
      </x:c>
      <x:c r="K90" s="102" t="str">
        <x:v>Medium</x:v>
      </x:c>
      <x:c r="L90" s="102" t="str">
        <x:v>To Do</x:v>
      </x:c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  <x:c r="W90" s="16"/>
      <x:c r="X90" s="16"/>
      <x:c r="Y90" s="16"/>
      <x:c r="Z90" s="16"/>
      <x:c r="AA90" s="16"/>
      <x:c r="AB90" s="16"/>
      <x:c r="AC90" s="16"/>
      <x:c r="AD90" s="16"/>
    </x:row>
    <x:row r="91" ht="192" hidden="0" customHeight="1">
      <x:c r="A91" s="100" t="n">
        <x:v>90</x:v>
      </x:c>
      <x:c r="B91" s="100" t="str">
        <x:v>FR_87</x:v>
      </x:c>
      <x:c r="C91" s="101" t="str">
        <x:v>The system shall allow an authorized Club operator to set or update an optional expiry time for an Announcement and shall derive expiry when that time passes.</x:v>
      </x:c>
      <x:c r="D91" s="101" t="str">
        <x:v>US_87</x:v>
      </x:c>
      <x:c r="E91" s="101" t="str">
        <x:v>Set Announcement Expiry</x:v>
      </x:c>
      <x:c r="F91" s="101" t="str">
        <x:v>Authorized Club operator</x:v>
      </x:c>
      <x:c r="G91" s="101" t="str">
        <x:v>to configure when an Announcement should expire</x:v>
      </x:c>
      <x:c r="H91" s="101" t="str">
        <x:v>time-sensitive information automatically leaves the current public feed</x:v>
      </x:c>
      <x:c r="I91" s="101" t="str">
        <x:v>As an authorized Club operator, I want to configure when an Announcement should expire so that time-sensitive information automatically leaves the current public feed.</x:v>
      </x:c>
      <x:c r="J91" s="102" t="str">
        <x:v>- expiresAt is optional and, when supplied for publication, is later than the current time.
- Only a User permitted to manage the Announcement may set or update it.
- A PUBLISHED Announcement becomes EXPIRED when expiresAt passes.
- EXPIRED announcements are excluded from current public feeds and search results.
- Expiry does not delete the Announcement or its history.
- Clearing or changing expiry before it passes is permitted while normal edit authorization remains valid.</x:v>
      </x:c>
      <x:c r="K91" s="102" t="str">
        <x:v>Medium</x:v>
      </x:c>
      <x:c r="L91" s="102" t="str">
        <x:v>To Do</x:v>
      </x:c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  <x:c r="W91" s="16"/>
      <x:c r="X91" s="16"/>
      <x:c r="Y91" s="16"/>
      <x:c r="Z91" s="16"/>
      <x:c r="AA91" s="16"/>
      <x:c r="AB91" s="16"/>
      <x:c r="AC91" s="16"/>
      <x:c r="AD91" s="16"/>
    </x:row>
    <x:row r="92" ht="156" hidden="0" customHeight="1">
      <x:c r="A92" s="100" t="n">
        <x:v>91</x:v>
      </x:c>
      <x:c r="B92" s="100" t="str">
        <x:v>FR_88</x:v>
      </x:c>
      <x:c r="C92" s="101" t="str">
        <x:v>The system shall allow an authorized Club operator to publish an Event with a description, start time, end time, and optional registration information for their assigned Club.</x:v>
      </x:c>
      <x:c r="D92" s="101" t="str">
        <x:v>US_88</x:v>
      </x:c>
      <x:c r="E92" s="101" t="str">
        <x:v>Publish a Club Event</x:v>
      </x:c>
      <x:c r="F92" s="101" t="str">
        <x:v>Authorized Club operator</x:v>
      </x:c>
      <x:c r="G92" s="101" t="str">
        <x:v>to publish a Club Event</x:v>
      </x:c>
      <x:c r="H92" s="101" t="str">
        <x:v>university members can discover upcoming and active Club activities</x:v>
      </x:c>
      <x:c r="I92" s="101" t="str">
        <x:v>As an authorized Club operator, I want to publish a Club Event so that university members can discover upcoming and active Club activities.</x:v>
      </x:c>
      <x:c r="J92" s="102" t="str">
        <x:v>- The User is ACTIVE and has a current assignment in the Event's Club.
- ClubStatus is ACTIVE.
- Title, description, startAt, and endAt are required.
- endAt is later than startAt.
- Optional venue, registration link, and registration deadline are validated when supplied.
- The Event belongs to exactly one Club and records its authoring assignment.
- Authorized Club operators publish directly without an approval workflow.</x:v>
      </x:c>
      <x:c r="K92" s="102" t="str">
        <x:v>High</x:v>
      </x:c>
      <x:c r="L92" s="102" t="str">
        <x:v>To Do</x:v>
      </x:c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  <x:c r="W92" s="16"/>
      <x:c r="X92" s="16"/>
      <x:c r="Y92" s="16"/>
      <x:c r="Z92" s="16"/>
      <x:c r="AA92" s="16"/>
      <x:c r="AB92" s="16"/>
      <x:c r="AC92" s="16"/>
      <x:c r="AD92" s="16"/>
    </x:row>
    <x:row r="93" ht="168" hidden="0" customHeight="1">
      <x:c r="A93" s="100" t="n">
        <x:v>92</x:v>
      </x:c>
      <x:c r="B93" s="100" t="str">
        <x:v>FR_89</x:v>
      </x:c>
      <x:c r="C93" s="101" t="str">
        <x:v>The system shall allow any user to browse current Club Events and shall label each Event as UPCOMING or ACTIVE from its start and end times.</x:v>
      </x:c>
      <x:c r="D93" s="101" t="str">
        <x:v>US_89</x:v>
      </x:c>
      <x:c r="E93" s="101" t="str">
        <x:v>Browse Current Club Events</x:v>
      </x:c>
      <x:c r="F93" s="101" t="str">
        <x:v>UniConnect user</x:v>
      </x:c>
      <x:c r="G93" s="101" t="str">
        <x:v>to browse upcoming and active Club Events</x:v>
      </x:c>
      <x:c r="H93" s="101" t="str">
        <x:v>I can discover activities that I may still attend</x:v>
      </x:c>
      <x:c r="I93" s="101" t="str">
        <x:v>As a UniConnect user, I want to browse upcoming and active Club Events so that I can discover activities that I may still attend.</x:v>
      </x:c>
      <x:c r="J93" s="102" t="str">
        <x:v>- An Event is UPCOMING before startAt.
- An Event is ACTIVE from startAt through endAt.
- Current-event lists include UPCOMING and ACTIVE Events from non-removed Clubs.
- Event cards show title, Club, timing, derived label, and available registration information.
- PAST or removed Events are excluded from current-event lists.
- Labels are derived from time and are not manually assigned.</x:v>
      </x:c>
      <x:c r="K93" s="102" t="str">
        <x:v>High</x:v>
      </x:c>
      <x:c r="L93" s="102" t="str">
        <x:v>To Do</x:v>
      </x:c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  <x:c r="W93" s="16"/>
      <x:c r="X93" s="16"/>
      <x:c r="Y93" s="16"/>
      <x:c r="Z93" s="16"/>
      <x:c r="AA93" s="16"/>
      <x:c r="AB93" s="16"/>
      <x:c r="AC93" s="16"/>
      <x:c r="AD93" s="16"/>
    </x:row>
    <x:row r="94" ht="132" hidden="0" customHeight="1">
      <x:c r="A94" s="100" t="n">
        <x:v>93</x:v>
      </x:c>
      <x:c r="B94" s="100" t="str">
        <x:v>FR_90</x:v>
      </x:c>
      <x:c r="C94" s="101" t="str">
        <x:v>The system shall preserve completed Club Events in event history and label them PAST after their end time.</x:v>
      </x:c>
      <x:c r="D94" s="101" t="str">
        <x:v>US_90</x:v>
      </x:c>
      <x:c r="E94" s="101" t="str">
        <x:v>View Club Event History</x:v>
      </x:c>
      <x:c r="F94" s="101" t="str">
        <x:v>UniConnect user</x:v>
      </x:c>
      <x:c r="G94" s="101" t="str">
        <x:v>to view past Club Events</x:v>
      </x:c>
      <x:c r="H94" s="101" t="str">
        <x:v>completed activities remain available as institutional history</x:v>
      </x:c>
      <x:c r="I94" s="101" t="str">
        <x:v>As a UniConnect user, I want to view past Club Events so that completed activities remain available as institutional history.</x:v>
      </x:c>
      <x:c r="J94" s="102" t="str">
        <x:v>- An Event becomes PAST after endAt.
- PAST Events are hidden from current-event lists.
- Past Events remain available in a separate event-history view for their Club.
- Historical Event identity, author, timing, and description are preserved.
- Removing a Club or Event from normal access does not physically erase required audit history.</x:v>
      </x:c>
      <x:c r="K94" s="102" t="str">
        <x:v>Medium</x:v>
      </x:c>
      <x:c r="L94" s="102" t="str">
        <x:v>To Do</x:v>
      </x:c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  <x:c r="W94" s="16"/>
      <x:c r="X94" s="16"/>
      <x:c r="Y94" s="16"/>
      <x:c r="Z94" s="16"/>
      <x:c r="AA94" s="16"/>
      <x:c r="AB94" s="16"/>
      <x:c r="AC94" s="16"/>
      <x:c r="AD94" s="16"/>
    </x:row>
    <x:row r="95">
      <x:c r="A95" s="24"/>
      <x:c r="B95" s="24"/>
      <x:c r="C95" s="16"/>
      <x:c r="D95" s="16"/>
      <x:c r="E95" s="16"/>
      <x:c r="F95" s="16"/>
      <x:c r="G95" s="16"/>
      <x:c r="H95" s="16"/>
      <x:c r="I95" s="16"/>
      <x:c r="J95" s="25"/>
      <x:c r="K95" s="25"/>
      <x:c r="L95" s="25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  <x:c r="W95" s="16"/>
      <x:c r="X95" s="16"/>
      <x:c r="Y95" s="16"/>
      <x:c r="Z95" s="16"/>
      <x:c r="AA95" s="16"/>
      <x:c r="AB95" s="16"/>
      <x:c r="AC95" s="16"/>
      <x:c r="AD95" s="16"/>
    </x:row>
    <x:row r="96">
      <x:c r="A96" s="24"/>
      <x:c r="B96" s="24"/>
      <x:c r="C96" s="16"/>
      <x:c r="D96" s="16"/>
      <x:c r="E96" s="16"/>
      <x:c r="F96" s="16"/>
      <x:c r="G96" s="16"/>
      <x:c r="H96" s="16"/>
      <x:c r="I96" s="16"/>
      <x:c r="J96" s="25"/>
      <x:c r="K96" s="25"/>
      <x:c r="L96" s="25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  <x:c r="W96" s="16"/>
      <x:c r="X96" s="16"/>
      <x:c r="Y96" s="16"/>
      <x:c r="Z96" s="16"/>
      <x:c r="AA96" s="16"/>
      <x:c r="AB96" s="16"/>
      <x:c r="AC96" s="16"/>
      <x:c r="AD96" s="16"/>
    </x:row>
    <x:row r="97">
      <x:c r="A97" s="24"/>
      <x:c r="B97" s="24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  <x:c r="W97" s="16"/>
      <x:c r="X97" s="16"/>
      <x:c r="Y97" s="16"/>
      <x:c r="Z97" s="16"/>
      <x:c r="AA97" s="16"/>
      <x:c r="AB97" s="16"/>
      <x:c r="AC97" s="16"/>
      <x:c r="AD97" s="16"/>
    </x:row>
    <x:row r="98">
      <x:c r="A98" s="24"/>
      <x:c r="B98" s="24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  <x:c r="W98" s="16"/>
      <x:c r="X98" s="16"/>
      <x:c r="Y98" s="16"/>
      <x:c r="Z98" s="16"/>
      <x:c r="AA98" s="16"/>
      <x:c r="AB98" s="16"/>
      <x:c r="AC98" s="16"/>
      <x:c r="AD98" s="16"/>
    </x:row>
    <x:row r="99">
      <x:c r="A99" s="24"/>
      <x:c r="B99" s="24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  <x:c r="W99" s="16"/>
      <x:c r="X99" s="16"/>
      <x:c r="Y99" s="16"/>
      <x:c r="Z99" s="16"/>
      <x:c r="AA99" s="16"/>
      <x:c r="AB99" s="16"/>
      <x:c r="AC99" s="16"/>
      <x:c r="AD99" s="16"/>
    </x:row>
    <x:row r="100">
      <x:c r="A100" s="24"/>
      <x:c r="B100" s="24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  <x:c r="W100" s="16"/>
      <x:c r="X100" s="16"/>
      <x:c r="Y100" s="16"/>
      <x:c r="Z100" s="16"/>
      <x:c r="AA100" s="16"/>
      <x:c r="AB100" s="16"/>
      <x:c r="AC100" s="16"/>
      <x:c r="AD100" s="16"/>
    </x:row>
    <x:row r="101">
      <x:c r="A101" s="24"/>
      <x:c r="B101" s="24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  <x:c r="W101" s="16"/>
      <x:c r="X101" s="16"/>
      <x:c r="Y101" s="16"/>
      <x:c r="Z101" s="16"/>
      <x:c r="AA101" s="16"/>
      <x:c r="AB101" s="16"/>
      <x:c r="AC101" s="16"/>
      <x:c r="AD101" s="16"/>
    </x:row>
    <x:row r="102">
      <x:c r="A102" s="24"/>
      <x:c r="B102" s="24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  <x:c r="W102" s="16"/>
      <x:c r="X102" s="16"/>
      <x:c r="Y102" s="16"/>
      <x:c r="Z102" s="16"/>
      <x:c r="AA102" s="16"/>
      <x:c r="AB102" s="16"/>
      <x:c r="AC102" s="16"/>
      <x:c r="AD102" s="16"/>
    </x:row>
    <x:row r="103">
      <x:c r="A103" s="24"/>
      <x:c r="B103" s="24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  <x:c r="W103" s="16"/>
      <x:c r="X103" s="16"/>
      <x:c r="Y103" s="16"/>
      <x:c r="Z103" s="16"/>
      <x:c r="AA103" s="16"/>
      <x:c r="AB103" s="16"/>
      <x:c r="AC103" s="16"/>
      <x:c r="AD103" s="16"/>
    </x:row>
    <x:row r="104">
      <x:c r="A104" s="24"/>
      <x:c r="B104" s="24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  <x:c r="W104" s="16"/>
      <x:c r="X104" s="16"/>
      <x:c r="Y104" s="16"/>
      <x:c r="Z104" s="16"/>
      <x:c r="AA104" s="16"/>
      <x:c r="AB104" s="16"/>
      <x:c r="AC104" s="16"/>
      <x:c r="AD104" s="16"/>
    </x:row>
    <x:row r="105">
      <x:c r="A105" s="24"/>
      <x:c r="B105" s="24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  <x:c r="W105" s="16"/>
      <x:c r="X105" s="16"/>
      <x:c r="Y105" s="16"/>
      <x:c r="Z105" s="16"/>
      <x:c r="AA105" s="16"/>
      <x:c r="AB105" s="16"/>
      <x:c r="AC105" s="16"/>
      <x:c r="AD105" s="16"/>
    </x:row>
    <x:row r="106">
      <x:c r="A106" s="24"/>
      <x:c r="B106" s="24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  <x:c r="W106" s="16"/>
      <x:c r="X106" s="16"/>
      <x:c r="Y106" s="16"/>
      <x:c r="Z106" s="16"/>
      <x:c r="AA106" s="16"/>
      <x:c r="AB106" s="16"/>
      <x:c r="AC106" s="16"/>
      <x:c r="AD106" s="16"/>
    </x:row>
    <x:row r="107">
      <x:c r="A107" s="24"/>
      <x:c r="B107" s="24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  <x:c r="W107" s="16"/>
      <x:c r="X107" s="16"/>
      <x:c r="Y107" s="16"/>
      <x:c r="Z107" s="16"/>
      <x:c r="AA107" s="16"/>
      <x:c r="AB107" s="16"/>
      <x:c r="AC107" s="16"/>
      <x:c r="AD107" s="16"/>
    </x:row>
    <x:row r="108">
      <x:c r="A108" s="24"/>
      <x:c r="B108" s="24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  <x:c r="W108" s="16"/>
      <x:c r="X108" s="16"/>
      <x:c r="Y108" s="16"/>
      <x:c r="Z108" s="16"/>
      <x:c r="AA108" s="16"/>
      <x:c r="AB108" s="16"/>
      <x:c r="AC108" s="16"/>
      <x:c r="AD108" s="16"/>
    </x:row>
    <x:row r="109">
      <x:c r="A109" s="24"/>
      <x:c r="B109" s="24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  <x:c r="W109" s="16"/>
      <x:c r="X109" s="16"/>
      <x:c r="Y109" s="16"/>
      <x:c r="Z109" s="16"/>
      <x:c r="AA109" s="16"/>
      <x:c r="AB109" s="16"/>
      <x:c r="AC109" s="16"/>
      <x:c r="AD109" s="16"/>
    </x:row>
    <x:row r="110">
      <x:c r="A110" s="24"/>
      <x:c r="B110" s="24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  <x:c r="W110" s="16"/>
      <x:c r="X110" s="16"/>
      <x:c r="Y110" s="16"/>
      <x:c r="Z110" s="16"/>
      <x:c r="AA110" s="16"/>
      <x:c r="AB110" s="16"/>
      <x:c r="AC110" s="16"/>
      <x:c r="AD110" s="16"/>
    </x:row>
    <x:row r="111">
      <x:c r="A111" s="24"/>
      <x:c r="B111" s="24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  <x:c r="W111" s="16"/>
      <x:c r="X111" s="16"/>
      <x:c r="Y111" s="16"/>
      <x:c r="Z111" s="16"/>
      <x:c r="AA111" s="16"/>
      <x:c r="AB111" s="16"/>
      <x:c r="AC111" s="16"/>
      <x:c r="AD111" s="16"/>
    </x:row>
    <x:row r="112">
      <x:c r="A112" s="24"/>
      <x:c r="B112" s="24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  <x:c r="W112" s="16"/>
      <x:c r="X112" s="16"/>
      <x:c r="Y112" s="16"/>
      <x:c r="Z112" s="16"/>
      <x:c r="AA112" s="16"/>
      <x:c r="AB112" s="16"/>
      <x:c r="AC112" s="16"/>
      <x:c r="AD112" s="16"/>
    </x:row>
    <x:row r="113">
      <x:c r="A113" s="24"/>
      <x:c r="B113" s="24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  <x:c r="W113" s="16"/>
      <x:c r="X113" s="16"/>
      <x:c r="Y113" s="16"/>
      <x:c r="Z113" s="16"/>
      <x:c r="AA113" s="16"/>
      <x:c r="AB113" s="16"/>
      <x:c r="AC113" s="16"/>
      <x:c r="AD113" s="16"/>
    </x:row>
    <x:row r="114">
      <x:c r="A114" s="24"/>
      <x:c r="B114" s="24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  <x:c r="W114" s="16"/>
      <x:c r="X114" s="16"/>
      <x:c r="Y114" s="16"/>
      <x:c r="Z114" s="16"/>
      <x:c r="AA114" s="16"/>
      <x:c r="AB114" s="16"/>
      <x:c r="AC114" s="16"/>
      <x:c r="AD114" s="16"/>
    </x:row>
    <x:row r="115">
      <x:c r="A115" s="24"/>
      <x:c r="B115" s="24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  <x:c r="W115" s="16"/>
      <x:c r="X115" s="16"/>
      <x:c r="Y115" s="16"/>
      <x:c r="Z115" s="16"/>
      <x:c r="AA115" s="16"/>
      <x:c r="AB115" s="16"/>
      <x:c r="AC115" s="16"/>
      <x:c r="AD115" s="16"/>
    </x:row>
    <x:row r="116">
      <x:c r="A116" s="24"/>
      <x:c r="B116" s="24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  <x:c r="W116" s="16"/>
      <x:c r="X116" s="16"/>
      <x:c r="Y116" s="16"/>
      <x:c r="Z116" s="16"/>
      <x:c r="AA116" s="16"/>
      <x:c r="AB116" s="16"/>
      <x:c r="AC116" s="16"/>
      <x:c r="AD116" s="16"/>
    </x:row>
    <x:row r="117">
      <x:c r="A117" s="24"/>
      <x:c r="B117" s="24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  <x:c r="W117" s="16"/>
      <x:c r="X117" s="16"/>
      <x:c r="Y117" s="16"/>
      <x:c r="Z117" s="16"/>
      <x:c r="AA117" s="16"/>
      <x:c r="AB117" s="16"/>
      <x:c r="AC117" s="16"/>
      <x:c r="AD117" s="16"/>
    </x:row>
    <x:row r="118">
      <x:c r="A118" s="24"/>
      <x:c r="B118" s="24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  <x:c r="W118" s="16"/>
      <x:c r="X118" s="16"/>
      <x:c r="Y118" s="16"/>
      <x:c r="Z118" s="16"/>
      <x:c r="AA118" s="16"/>
      <x:c r="AB118" s="16"/>
      <x:c r="AC118" s="16"/>
      <x:c r="AD118" s="16"/>
    </x:row>
    <x:row r="119">
      <x:c r="A119" s="24"/>
      <x:c r="B119" s="24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  <x:c r="W119" s="16"/>
      <x:c r="X119" s="16"/>
      <x:c r="Y119" s="16"/>
      <x:c r="Z119" s="16"/>
      <x:c r="AA119" s="16"/>
      <x:c r="AB119" s="16"/>
      <x:c r="AC119" s="16"/>
      <x:c r="AD119" s="16"/>
    </x:row>
    <x:row r="120">
      <x:c r="A120" s="24"/>
      <x:c r="B120" s="24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  <x:c r="W120" s="16"/>
      <x:c r="X120" s="16"/>
      <x:c r="Y120" s="16"/>
      <x:c r="Z120" s="16"/>
      <x:c r="AA120" s="16"/>
      <x:c r="AB120" s="16"/>
      <x:c r="AC120" s="16"/>
      <x:c r="AD120" s="16"/>
    </x:row>
    <x:row r="121">
      <x:c r="A121" s="24"/>
      <x:c r="B121" s="24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  <x:c r="W121" s="16"/>
      <x:c r="X121" s="16"/>
      <x:c r="Y121" s="16"/>
      <x:c r="Z121" s="16"/>
      <x:c r="AA121" s="16"/>
      <x:c r="AB121" s="16"/>
      <x:c r="AC121" s="16"/>
      <x:c r="AD121" s="16"/>
    </x:row>
    <x:row r="122">
      <x:c r="A122" s="24"/>
      <x:c r="B122" s="24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  <x:c r="W122" s="16"/>
      <x:c r="X122" s="16"/>
      <x:c r="Y122" s="16"/>
      <x:c r="Z122" s="16"/>
      <x:c r="AA122" s="16"/>
      <x:c r="AB122" s="16"/>
      <x:c r="AC122" s="16"/>
      <x:c r="AD122" s="16"/>
    </x:row>
    <x:row r="123">
      <x:c r="A123" s="24"/>
      <x:c r="B123" s="24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  <x:c r="W123" s="16"/>
      <x:c r="X123" s="16"/>
      <x:c r="Y123" s="16"/>
      <x:c r="Z123" s="16"/>
      <x:c r="AA123" s="16"/>
      <x:c r="AB123" s="16"/>
      <x:c r="AC123" s="16"/>
      <x:c r="AD123" s="16"/>
    </x:row>
    <x:row r="124">
      <x:c r="A124" s="24"/>
      <x:c r="B124" s="24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  <x:c r="W124" s="16"/>
      <x:c r="X124" s="16"/>
      <x:c r="Y124" s="16"/>
      <x:c r="Z124" s="16"/>
      <x:c r="AA124" s="16"/>
      <x:c r="AB124" s="16"/>
      <x:c r="AC124" s="16"/>
      <x:c r="AD124" s="16"/>
    </x:row>
    <x:row r="125">
      <x:c r="A125" s="24"/>
      <x:c r="B125" s="24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  <x:c r="W125" s="16"/>
      <x:c r="X125" s="16"/>
      <x:c r="Y125" s="16"/>
      <x:c r="Z125" s="16"/>
      <x:c r="AA125" s="16"/>
      <x:c r="AB125" s="16"/>
      <x:c r="AC125" s="16"/>
      <x:c r="AD125" s="16"/>
    </x:row>
    <x:row r="126">
      <x:c r="A126" s="24"/>
      <x:c r="B126" s="24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  <x:c r="W126" s="16"/>
      <x:c r="X126" s="16"/>
      <x:c r="Y126" s="16"/>
      <x:c r="Z126" s="16"/>
      <x:c r="AA126" s="16"/>
      <x:c r="AB126" s="16"/>
      <x:c r="AC126" s="16"/>
      <x:c r="AD126" s="16"/>
    </x:row>
    <x:row r="127">
      <x:c r="A127" s="24"/>
      <x:c r="B127" s="24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  <x:c r="W127" s="16"/>
      <x:c r="X127" s="16"/>
      <x:c r="Y127" s="16"/>
      <x:c r="Z127" s="16"/>
      <x:c r="AA127" s="16"/>
      <x:c r="AB127" s="16"/>
      <x:c r="AC127" s="16"/>
      <x:c r="AD127" s="16"/>
    </x:row>
    <x:row r="128">
      <x:c r="A128" s="24"/>
      <x:c r="B128" s="24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  <x:c r="W128" s="16"/>
      <x:c r="X128" s="16"/>
      <x:c r="Y128" s="16"/>
      <x:c r="Z128" s="16"/>
      <x:c r="AA128" s="16"/>
      <x:c r="AB128" s="16"/>
      <x:c r="AC128" s="16"/>
      <x:c r="AD128" s="16"/>
    </x:row>
    <x:row r="129">
      <x:c r="A129" s="24"/>
      <x:c r="B129" s="24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  <x:c r="W129" s="16"/>
      <x:c r="X129" s="16"/>
      <x:c r="Y129" s="16"/>
      <x:c r="Z129" s="16"/>
      <x:c r="AA129" s="16"/>
      <x:c r="AB129" s="16"/>
      <x:c r="AC129" s="16"/>
      <x:c r="AD129" s="16"/>
    </x:row>
    <x:row r="130">
      <x:c r="A130" s="24"/>
      <x:c r="B130" s="24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  <x:c r="W130" s="16"/>
      <x:c r="X130" s="16"/>
      <x:c r="Y130" s="16"/>
      <x:c r="Z130" s="16"/>
      <x:c r="AA130" s="16"/>
      <x:c r="AB130" s="16"/>
      <x:c r="AC130" s="16"/>
      <x:c r="AD130" s="16"/>
    </x:row>
    <x:row r="131">
      <x:c r="A131" s="24"/>
      <x:c r="B131" s="24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  <x:c r="W131" s="16"/>
      <x:c r="X131" s="16"/>
      <x:c r="Y131" s="16"/>
      <x:c r="Z131" s="16"/>
      <x:c r="AA131" s="16"/>
      <x:c r="AB131" s="16"/>
      <x:c r="AC131" s="16"/>
      <x:c r="AD131" s="16"/>
    </x:row>
    <x:row r="132">
      <x:c r="A132" s="24"/>
      <x:c r="B132" s="24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  <x:c r="W132" s="16"/>
      <x:c r="X132" s="16"/>
      <x:c r="Y132" s="16"/>
      <x:c r="Z132" s="16"/>
      <x:c r="AA132" s="16"/>
      <x:c r="AB132" s="16"/>
      <x:c r="AC132" s="16"/>
      <x:c r="AD132" s="16"/>
    </x:row>
    <x:row r="133">
      <x:c r="A133" s="24"/>
      <x:c r="B133" s="24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  <x:c r="W133" s="16"/>
      <x:c r="X133" s="16"/>
      <x:c r="Y133" s="16"/>
      <x:c r="Z133" s="16"/>
      <x:c r="AA133" s="16"/>
      <x:c r="AB133" s="16"/>
      <x:c r="AC133" s="16"/>
      <x:c r="AD133" s="16"/>
    </x:row>
    <x:row r="134">
      <x:c r="A134" s="24"/>
      <x:c r="B134" s="24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  <x:c r="W134" s="16"/>
      <x:c r="X134" s="16"/>
      <x:c r="Y134" s="16"/>
      <x:c r="Z134" s="16"/>
      <x:c r="AA134" s="16"/>
      <x:c r="AB134" s="16"/>
      <x:c r="AC134" s="16"/>
      <x:c r="AD134" s="16"/>
    </x:row>
    <x:row r="135">
      <x:c r="A135" s="24"/>
      <x:c r="B135" s="24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  <x:c r="W135" s="16"/>
      <x:c r="X135" s="16"/>
      <x:c r="Y135" s="16"/>
      <x:c r="Z135" s="16"/>
      <x:c r="AA135" s="16"/>
      <x:c r="AB135" s="16"/>
      <x:c r="AC135" s="16"/>
      <x:c r="AD135" s="16"/>
    </x:row>
    <x:row r="136">
      <x:c r="A136" s="24"/>
      <x:c r="B136" s="24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  <x:c r="W136" s="16"/>
      <x:c r="X136" s="16"/>
      <x:c r="Y136" s="16"/>
      <x:c r="Z136" s="16"/>
      <x:c r="AA136" s="16"/>
      <x:c r="AB136" s="16"/>
      <x:c r="AC136" s="16"/>
      <x:c r="AD136" s="16"/>
    </x:row>
    <x:row r="137">
      <x:c r="A137" s="24"/>
      <x:c r="B137" s="24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  <x:c r="W137" s="16"/>
      <x:c r="X137" s="16"/>
      <x:c r="Y137" s="16"/>
      <x:c r="Z137" s="16"/>
      <x:c r="AA137" s="16"/>
      <x:c r="AB137" s="16"/>
      <x:c r="AC137" s="16"/>
      <x:c r="AD137" s="16"/>
    </x:row>
    <x:row r="138">
      <x:c r="A138" s="24"/>
      <x:c r="B138" s="24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  <x:c r="W138" s="16"/>
      <x:c r="X138" s="16"/>
      <x:c r="Y138" s="16"/>
      <x:c r="Z138" s="16"/>
      <x:c r="AA138" s="16"/>
      <x:c r="AB138" s="16"/>
      <x:c r="AC138" s="16"/>
      <x:c r="AD138" s="16"/>
    </x:row>
    <x:row r="139">
      <x:c r="A139" s="24"/>
      <x:c r="B139" s="24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  <x:c r="W139" s="16"/>
      <x:c r="X139" s="16"/>
      <x:c r="Y139" s="16"/>
      <x:c r="Z139" s="16"/>
      <x:c r="AA139" s="16"/>
      <x:c r="AB139" s="16"/>
      <x:c r="AC139" s="16"/>
      <x:c r="AD139" s="16"/>
    </x:row>
    <x:row r="140">
      <x:c r="A140" s="24"/>
      <x:c r="B140" s="24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  <x:c r="W140" s="16"/>
      <x:c r="X140" s="16"/>
      <x:c r="Y140" s="16"/>
      <x:c r="Z140" s="16"/>
      <x:c r="AA140" s="16"/>
      <x:c r="AB140" s="16"/>
      <x:c r="AC140" s="16"/>
      <x:c r="AD140" s="16"/>
    </x:row>
    <x:row r="141">
      <x:c r="A141" s="24"/>
      <x:c r="B141" s="24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  <x:c r="W141" s="16"/>
      <x:c r="X141" s="16"/>
      <x:c r="Y141" s="16"/>
      <x:c r="Z141" s="16"/>
      <x:c r="AA141" s="16"/>
      <x:c r="AB141" s="16"/>
      <x:c r="AC141" s="16"/>
      <x:c r="AD141" s="16"/>
    </x:row>
    <x:row r="142">
      <x:c r="A142" s="24"/>
      <x:c r="B142" s="24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  <x:c r="W142" s="16"/>
      <x:c r="X142" s="16"/>
      <x:c r="Y142" s="16"/>
      <x:c r="Z142" s="16"/>
      <x:c r="AA142" s="16"/>
      <x:c r="AB142" s="16"/>
      <x:c r="AC142" s="16"/>
      <x:c r="AD142" s="16"/>
    </x:row>
    <x:row r="143">
      <x:c r="A143" s="24"/>
      <x:c r="B143" s="24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  <x:c r="W143" s="16"/>
      <x:c r="X143" s="16"/>
      <x:c r="Y143" s="16"/>
      <x:c r="Z143" s="16"/>
      <x:c r="AA143" s="16"/>
      <x:c r="AB143" s="16"/>
      <x:c r="AC143" s="16"/>
      <x:c r="AD143" s="16"/>
    </x:row>
    <x:row r="144">
      <x:c r="A144" s="24"/>
      <x:c r="B144" s="24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  <x:c r="W144" s="16"/>
      <x:c r="X144" s="16"/>
      <x:c r="Y144" s="16"/>
      <x:c r="Z144" s="16"/>
      <x:c r="AA144" s="16"/>
      <x:c r="AB144" s="16"/>
      <x:c r="AC144" s="16"/>
      <x:c r="AD144" s="16"/>
    </x:row>
    <x:row r="145">
      <x:c r="A145" s="24"/>
      <x:c r="B145" s="24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  <x:c r="W145" s="16"/>
      <x:c r="X145" s="16"/>
      <x:c r="Y145" s="16"/>
      <x:c r="Z145" s="16"/>
      <x:c r="AA145" s="16"/>
      <x:c r="AB145" s="16"/>
      <x:c r="AC145" s="16"/>
      <x:c r="AD145" s="16"/>
    </x:row>
    <x:row r="146">
      <x:c r="A146" s="24"/>
      <x:c r="B146" s="24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  <x:c r="W146" s="16"/>
      <x:c r="X146" s="16"/>
      <x:c r="Y146" s="16"/>
      <x:c r="Z146" s="16"/>
      <x:c r="AA146" s="16"/>
      <x:c r="AB146" s="16"/>
      <x:c r="AC146" s="16"/>
      <x:c r="AD146" s="16"/>
    </x:row>
    <x:row r="147">
      <x:c r="A147" s="24"/>
      <x:c r="B147" s="24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  <x:c r="W147" s="16"/>
      <x:c r="X147" s="16"/>
      <x:c r="Y147" s="16"/>
      <x:c r="Z147" s="16"/>
      <x:c r="AA147" s="16"/>
      <x:c r="AB147" s="16"/>
      <x:c r="AC147" s="16"/>
      <x:c r="AD147" s="16"/>
    </x:row>
    <x:row r="148">
      <x:c r="A148" s="24"/>
      <x:c r="B148" s="24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  <x:c r="W148" s="16"/>
      <x:c r="X148" s="16"/>
      <x:c r="Y148" s="16"/>
      <x:c r="Z148" s="16"/>
      <x:c r="AA148" s="16"/>
      <x:c r="AB148" s="16"/>
      <x:c r="AC148" s="16"/>
      <x:c r="AD148" s="16"/>
    </x:row>
    <x:row r="149">
      <x:c r="A149" s="24"/>
      <x:c r="B149" s="24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  <x:c r="W149" s="16"/>
      <x:c r="X149" s="16"/>
      <x:c r="Y149" s="16"/>
      <x:c r="Z149" s="16"/>
      <x:c r="AA149" s="16"/>
      <x:c r="AB149" s="16"/>
      <x:c r="AC149" s="16"/>
      <x:c r="AD149" s="16"/>
    </x:row>
    <x:row r="150">
      <x:c r="A150" s="24"/>
      <x:c r="B150" s="24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  <x:c r="W150" s="16"/>
      <x:c r="X150" s="16"/>
      <x:c r="Y150" s="16"/>
      <x:c r="Z150" s="16"/>
      <x:c r="AA150" s="16"/>
      <x:c r="AB150" s="16"/>
      <x:c r="AC150" s="16"/>
      <x:c r="AD150" s="16"/>
    </x:row>
    <x:row r="151">
      <x:c r="A151" s="24"/>
      <x:c r="B151" s="24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  <x:c r="W151" s="16"/>
      <x:c r="X151" s="16"/>
      <x:c r="Y151" s="16"/>
      <x:c r="Z151" s="16"/>
      <x:c r="AA151" s="16"/>
      <x:c r="AB151" s="16"/>
      <x:c r="AC151" s="16"/>
      <x:c r="AD151" s="16"/>
    </x:row>
    <x:row r="152">
      <x:c r="A152" s="24"/>
      <x:c r="B152" s="24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  <x:c r="W152" s="16"/>
      <x:c r="X152" s="16"/>
      <x:c r="Y152" s="16"/>
      <x:c r="Z152" s="16"/>
      <x:c r="AA152" s="16"/>
      <x:c r="AB152" s="16"/>
      <x:c r="AC152" s="16"/>
      <x:c r="AD152" s="16"/>
    </x:row>
    <x:row r="153">
      <x:c r="A153" s="24"/>
      <x:c r="B153" s="24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  <x:c r="W153" s="16"/>
      <x:c r="X153" s="16"/>
      <x:c r="Y153" s="16"/>
      <x:c r="Z153" s="16"/>
      <x:c r="AA153" s="16"/>
      <x:c r="AB153" s="16"/>
      <x:c r="AC153" s="16"/>
      <x:c r="AD153" s="16"/>
    </x:row>
    <x:row r="154">
      <x:c r="A154" s="24"/>
      <x:c r="B154" s="24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  <x:c r="W154" s="16"/>
      <x:c r="X154" s="16"/>
      <x:c r="Y154" s="16"/>
      <x:c r="Z154" s="16"/>
      <x:c r="AA154" s="16"/>
      <x:c r="AB154" s="16"/>
      <x:c r="AC154" s="16"/>
      <x:c r="AD154" s="16"/>
    </x:row>
    <x:row r="155">
      <x:c r="A155" s="24"/>
      <x:c r="B155" s="24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  <x:c r="W155" s="16"/>
      <x:c r="X155" s="16"/>
      <x:c r="Y155" s="16"/>
      <x:c r="Z155" s="16"/>
      <x:c r="AA155" s="16"/>
      <x:c r="AB155" s="16"/>
      <x:c r="AC155" s="16"/>
      <x:c r="AD155" s="16"/>
    </x:row>
    <x:row r="156">
      <x:c r="A156" s="24"/>
      <x:c r="B156" s="24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  <x:c r="W156" s="16"/>
      <x:c r="X156" s="16"/>
      <x:c r="Y156" s="16"/>
      <x:c r="Z156" s="16"/>
      <x:c r="AA156" s="16"/>
      <x:c r="AB156" s="16"/>
      <x:c r="AC156" s="16"/>
      <x:c r="AD156" s="16"/>
    </x:row>
    <x:row r="157">
      <x:c r="A157" s="24"/>
      <x:c r="B157" s="24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  <x:c r="W157" s="16"/>
      <x:c r="X157" s="16"/>
      <x:c r="Y157" s="16"/>
      <x:c r="Z157" s="16"/>
      <x:c r="AA157" s="16"/>
      <x:c r="AB157" s="16"/>
      <x:c r="AC157" s="16"/>
      <x:c r="AD157" s="16"/>
    </x:row>
    <x:row r="158">
      <x:c r="A158" s="24"/>
      <x:c r="B158" s="24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  <x:c r="W158" s="16"/>
      <x:c r="X158" s="16"/>
      <x:c r="Y158" s="16"/>
      <x:c r="Z158" s="16"/>
      <x:c r="AA158" s="16"/>
      <x:c r="AB158" s="16"/>
      <x:c r="AC158" s="16"/>
      <x:c r="AD158" s="16"/>
    </x:row>
    <x:row r="159">
      <x:c r="A159" s="24"/>
      <x:c r="B159" s="24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  <x:c r="W159" s="16"/>
      <x:c r="X159" s="16"/>
      <x:c r="Y159" s="16"/>
      <x:c r="Z159" s="16"/>
      <x:c r="AA159" s="16"/>
      <x:c r="AB159" s="16"/>
      <x:c r="AC159" s="16"/>
      <x:c r="AD159" s="16"/>
    </x:row>
    <x:row r="160">
      <x:c r="A160" s="24"/>
      <x:c r="B160" s="24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  <x:c r="W160" s="16"/>
      <x:c r="X160" s="16"/>
      <x:c r="Y160" s="16"/>
      <x:c r="Z160" s="16"/>
      <x:c r="AA160" s="16"/>
      <x:c r="AB160" s="16"/>
      <x:c r="AC160" s="16"/>
      <x:c r="AD160" s="16"/>
    </x:row>
    <x:row r="161">
      <x:c r="A161" s="24"/>
      <x:c r="B161" s="24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  <x:c r="W161" s="16"/>
      <x:c r="X161" s="16"/>
      <x:c r="Y161" s="16"/>
      <x:c r="Z161" s="16"/>
      <x:c r="AA161" s="16"/>
      <x:c r="AB161" s="16"/>
      <x:c r="AC161" s="16"/>
      <x:c r="AD161" s="16"/>
    </x:row>
    <x:row r="162">
      <x:c r="A162" s="24"/>
      <x:c r="B162" s="24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  <x:c r="W162" s="16"/>
      <x:c r="X162" s="16"/>
      <x:c r="Y162" s="16"/>
      <x:c r="Z162" s="16"/>
      <x:c r="AA162" s="16"/>
      <x:c r="AB162" s="16"/>
      <x:c r="AC162" s="16"/>
      <x:c r="AD162" s="16"/>
    </x:row>
    <x:row r="163">
      <x:c r="A163" s="24"/>
      <x:c r="B163" s="24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  <x:c r="W163" s="16"/>
      <x:c r="X163" s="16"/>
      <x:c r="Y163" s="16"/>
      <x:c r="Z163" s="16"/>
      <x:c r="AA163" s="16"/>
      <x:c r="AB163" s="16"/>
      <x:c r="AC163" s="16"/>
      <x:c r="AD163" s="16"/>
    </x:row>
    <x:row r="164">
      <x:c r="A164" s="24"/>
      <x:c r="B164" s="24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  <x:c r="W164" s="16"/>
      <x:c r="X164" s="16"/>
      <x:c r="Y164" s="16"/>
      <x:c r="Z164" s="16"/>
      <x:c r="AA164" s="16"/>
      <x:c r="AB164" s="16"/>
      <x:c r="AC164" s="16"/>
      <x:c r="AD164" s="16"/>
    </x:row>
    <x:row r="165">
      <x:c r="A165" s="24"/>
      <x:c r="B165" s="24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  <x:c r="W165" s="16"/>
      <x:c r="X165" s="16"/>
      <x:c r="Y165" s="16"/>
      <x:c r="Z165" s="16"/>
      <x:c r="AA165" s="16"/>
      <x:c r="AB165" s="16"/>
      <x:c r="AC165" s="16"/>
      <x:c r="AD165" s="16"/>
    </x:row>
    <x:row r="166">
      <x:c r="A166" s="24"/>
      <x:c r="B166" s="24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  <x:c r="W166" s="16"/>
      <x:c r="X166" s="16"/>
      <x:c r="Y166" s="16"/>
      <x:c r="Z166" s="16"/>
      <x:c r="AA166" s="16"/>
      <x:c r="AB166" s="16"/>
      <x:c r="AC166" s="16"/>
      <x:c r="AD166" s="16"/>
    </x:row>
    <x:row r="167">
      <x:c r="A167" s="24"/>
      <x:c r="B167" s="24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  <x:c r="W167" s="16"/>
      <x:c r="X167" s="16"/>
      <x:c r="Y167" s="16"/>
      <x:c r="Z167" s="16"/>
      <x:c r="AA167" s="16"/>
      <x:c r="AB167" s="16"/>
      <x:c r="AC167" s="16"/>
      <x:c r="AD167" s="16"/>
    </x:row>
    <x:row r="168">
      <x:c r="A168" s="24"/>
      <x:c r="B168" s="24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  <x:c r="W168" s="16"/>
      <x:c r="X168" s="16"/>
      <x:c r="Y168" s="16"/>
      <x:c r="Z168" s="16"/>
      <x:c r="AA168" s="16"/>
      <x:c r="AB168" s="16"/>
      <x:c r="AC168" s="16"/>
      <x:c r="AD168" s="16"/>
    </x:row>
    <x:row r="169">
      <x:c r="A169" s="24"/>
      <x:c r="B169" s="24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  <x:c r="W169" s="16"/>
      <x:c r="X169" s="16"/>
      <x:c r="Y169" s="16"/>
      <x:c r="Z169" s="16"/>
      <x:c r="AA169" s="16"/>
      <x:c r="AB169" s="16"/>
      <x:c r="AC169" s="16"/>
      <x:c r="AD169" s="16"/>
    </x:row>
    <x:row r="170">
      <x:c r="A170" s="24"/>
      <x:c r="B170" s="24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  <x:c r="W170" s="16"/>
      <x:c r="X170" s="16"/>
      <x:c r="Y170" s="16"/>
      <x:c r="Z170" s="16"/>
      <x:c r="AA170" s="16"/>
      <x:c r="AB170" s="16"/>
      <x:c r="AC170" s="16"/>
      <x:c r="AD170" s="16"/>
    </x:row>
    <x:row r="171">
      <x:c r="A171" s="24"/>
      <x:c r="B171" s="24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  <x:c r="W171" s="16"/>
      <x:c r="X171" s="16"/>
      <x:c r="Y171" s="16"/>
      <x:c r="Z171" s="16"/>
      <x:c r="AA171" s="16"/>
      <x:c r="AB171" s="16"/>
      <x:c r="AC171" s="16"/>
      <x:c r="AD171" s="16"/>
    </x:row>
    <x:row r="172">
      <x:c r="A172" s="24"/>
      <x:c r="B172" s="24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  <x:c r="W172" s="16"/>
      <x:c r="X172" s="16"/>
      <x:c r="Y172" s="16"/>
      <x:c r="Z172" s="16"/>
      <x:c r="AA172" s="16"/>
      <x:c r="AB172" s="16"/>
      <x:c r="AC172" s="16"/>
      <x:c r="AD172" s="16"/>
    </x:row>
    <x:row r="173">
      <x:c r="A173" s="24"/>
      <x:c r="B173" s="24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  <x:c r="W173" s="16"/>
      <x:c r="X173" s="16"/>
      <x:c r="Y173" s="16"/>
      <x:c r="Z173" s="16"/>
      <x:c r="AA173" s="16"/>
      <x:c r="AB173" s="16"/>
      <x:c r="AC173" s="16"/>
      <x:c r="AD173" s="16"/>
    </x:row>
    <x:row r="174">
      <x:c r="A174" s="24"/>
      <x:c r="B174" s="24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  <x:c r="W174" s="16"/>
      <x:c r="X174" s="16"/>
      <x:c r="Y174" s="16"/>
      <x:c r="Z174" s="16"/>
      <x:c r="AA174" s="16"/>
      <x:c r="AB174" s="16"/>
      <x:c r="AC174" s="16"/>
      <x:c r="AD174" s="16"/>
    </x:row>
    <x:row r="175">
      <x:c r="A175" s="24"/>
      <x:c r="B175" s="24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  <x:c r="W175" s="16"/>
      <x:c r="X175" s="16"/>
      <x:c r="Y175" s="16"/>
      <x:c r="Z175" s="16"/>
      <x:c r="AA175" s="16"/>
      <x:c r="AB175" s="16"/>
      <x:c r="AC175" s="16"/>
      <x:c r="AD175" s="16"/>
    </x:row>
    <x:row r="176">
      <x:c r="A176" s="24"/>
      <x:c r="B176" s="24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  <x:c r="W176" s="16"/>
      <x:c r="X176" s="16"/>
      <x:c r="Y176" s="16"/>
      <x:c r="Z176" s="16"/>
      <x:c r="AA176" s="16"/>
      <x:c r="AB176" s="16"/>
      <x:c r="AC176" s="16"/>
      <x:c r="AD176" s="16"/>
    </x:row>
    <x:row r="177">
      <x:c r="A177" s="24"/>
      <x:c r="B177" s="24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  <x:c r="W177" s="16"/>
      <x:c r="X177" s="16"/>
      <x:c r="Y177" s="16"/>
      <x:c r="Z177" s="16"/>
      <x:c r="AA177" s="16"/>
      <x:c r="AB177" s="16"/>
      <x:c r="AC177" s="16"/>
      <x:c r="AD177" s="16"/>
    </x:row>
    <x:row r="178">
      <x:c r="A178" s="24"/>
      <x:c r="B178" s="24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  <x:c r="W178" s="16"/>
      <x:c r="X178" s="16"/>
      <x:c r="Y178" s="16"/>
      <x:c r="Z178" s="16"/>
      <x:c r="AA178" s="16"/>
      <x:c r="AB178" s="16"/>
      <x:c r="AC178" s="16"/>
      <x:c r="AD178" s="16"/>
    </x:row>
    <x:row r="179">
      <x:c r="A179" s="24"/>
      <x:c r="B179" s="24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  <x:c r="W179" s="16"/>
      <x:c r="X179" s="16"/>
      <x:c r="Y179" s="16"/>
      <x:c r="Z179" s="16"/>
      <x:c r="AA179" s="16"/>
      <x:c r="AB179" s="16"/>
      <x:c r="AC179" s="16"/>
      <x:c r="AD179" s="16"/>
    </x:row>
    <x:row r="180">
      <x:c r="A180" s="24"/>
      <x:c r="B180" s="24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  <x:c r="W180" s="16"/>
      <x:c r="X180" s="16"/>
      <x:c r="Y180" s="16"/>
      <x:c r="Z180" s="16"/>
      <x:c r="AA180" s="16"/>
      <x:c r="AB180" s="16"/>
      <x:c r="AC180" s="16"/>
      <x:c r="AD180" s="16"/>
    </x:row>
    <x:row r="181">
      <x:c r="A181" s="24"/>
      <x:c r="B181" s="24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  <x:c r="W181" s="16"/>
      <x:c r="X181" s="16"/>
      <x:c r="Y181" s="16"/>
      <x:c r="Z181" s="16"/>
      <x:c r="AA181" s="16"/>
      <x:c r="AB181" s="16"/>
      <x:c r="AC181" s="16"/>
      <x:c r="AD181" s="16"/>
    </x:row>
    <x:row r="182">
      <x:c r="A182" s="24"/>
      <x:c r="B182" s="24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  <x:c r="W182" s="16"/>
      <x:c r="X182" s="16"/>
      <x:c r="Y182" s="16"/>
      <x:c r="Z182" s="16"/>
      <x:c r="AA182" s="16"/>
      <x:c r="AB182" s="16"/>
      <x:c r="AC182" s="16"/>
      <x:c r="AD182" s="16"/>
    </x:row>
    <x:row r="183">
      <x:c r="A183" s="24"/>
      <x:c r="B183" s="24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  <x:c r="W183" s="16"/>
      <x:c r="X183" s="16"/>
      <x:c r="Y183" s="16"/>
      <x:c r="Z183" s="16"/>
      <x:c r="AA183" s="16"/>
      <x:c r="AB183" s="16"/>
      <x:c r="AC183" s="16"/>
      <x:c r="AD183" s="16"/>
    </x:row>
    <x:row r="184">
      <x:c r="A184" s="24"/>
      <x:c r="B184" s="24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  <x:c r="W184" s="16"/>
      <x:c r="X184" s="16"/>
      <x:c r="Y184" s="16"/>
      <x:c r="Z184" s="16"/>
      <x:c r="AA184" s="16"/>
      <x:c r="AB184" s="16"/>
      <x:c r="AC184" s="16"/>
      <x:c r="AD184" s="16"/>
    </x:row>
    <x:row r="185">
      <x:c r="A185" s="24"/>
      <x:c r="B185" s="24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  <x:c r="W185" s="16"/>
      <x:c r="X185" s="16"/>
      <x:c r="Y185" s="16"/>
      <x:c r="Z185" s="16"/>
      <x:c r="AA185" s="16"/>
      <x:c r="AB185" s="16"/>
      <x:c r="AC185" s="16"/>
      <x:c r="AD185" s="16"/>
    </x:row>
    <x:row r="186">
      <x:c r="A186" s="24"/>
      <x:c r="B186" s="24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  <x:c r="W186" s="16"/>
      <x:c r="X186" s="16"/>
      <x:c r="Y186" s="16"/>
      <x:c r="Z186" s="16"/>
      <x:c r="AA186" s="16"/>
      <x:c r="AB186" s="16"/>
      <x:c r="AC186" s="16"/>
      <x:c r="AD186" s="16"/>
    </x:row>
    <x:row r="187">
      <x:c r="A187" s="24"/>
      <x:c r="B187" s="24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  <x:c r="W187" s="16"/>
      <x:c r="X187" s="16"/>
      <x:c r="Y187" s="16"/>
      <x:c r="Z187" s="16"/>
      <x:c r="AA187" s="16"/>
      <x:c r="AB187" s="16"/>
      <x:c r="AC187" s="16"/>
      <x:c r="AD187" s="16"/>
    </x:row>
    <x:row r="188">
      <x:c r="A188" s="24"/>
      <x:c r="B188" s="24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  <x:c r="W188" s="16"/>
      <x:c r="X188" s="16"/>
      <x:c r="Y188" s="16"/>
      <x:c r="Z188" s="16"/>
      <x:c r="AA188" s="16"/>
      <x:c r="AB188" s="16"/>
      <x:c r="AC188" s="16"/>
      <x:c r="AD188" s="16"/>
    </x:row>
    <x:row r="189">
      <x:c r="A189" s="24"/>
      <x:c r="B189" s="24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  <x:c r="W189" s="16"/>
      <x:c r="X189" s="16"/>
      <x:c r="Y189" s="16"/>
      <x:c r="Z189" s="16"/>
      <x:c r="AA189" s="16"/>
      <x:c r="AB189" s="16"/>
      <x:c r="AC189" s="16"/>
      <x:c r="AD189" s="16"/>
    </x:row>
    <x:row r="190">
      <x:c r="A190" s="24"/>
      <x:c r="B190" s="24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  <x:c r="W190" s="16"/>
      <x:c r="X190" s="16"/>
      <x:c r="Y190" s="16"/>
      <x:c r="Z190" s="16"/>
      <x:c r="AA190" s="16"/>
      <x:c r="AB190" s="16"/>
      <x:c r="AC190" s="16"/>
      <x:c r="AD190" s="16"/>
    </x:row>
    <x:row r="191">
      <x:c r="A191" s="24"/>
      <x:c r="B191" s="24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  <x:c r="W191" s="16"/>
      <x:c r="X191" s="16"/>
      <x:c r="Y191" s="16"/>
      <x:c r="Z191" s="16"/>
      <x:c r="AA191" s="16"/>
      <x:c r="AB191" s="16"/>
      <x:c r="AC191" s="16"/>
      <x:c r="AD191" s="16"/>
    </x:row>
    <x:row r="192">
      <x:c r="A192" s="24"/>
      <x:c r="B192" s="24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  <x:c r="W192" s="16"/>
      <x:c r="X192" s="16"/>
      <x:c r="Y192" s="16"/>
      <x:c r="Z192" s="16"/>
      <x:c r="AA192" s="16"/>
      <x:c r="AB192" s="16"/>
      <x:c r="AC192" s="16"/>
      <x:c r="AD192" s="16"/>
    </x:row>
    <x:row r="193">
      <x:c r="A193" s="24"/>
      <x:c r="B193" s="24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  <x:c r="W193" s="16"/>
      <x:c r="X193" s="16"/>
      <x:c r="Y193" s="16"/>
      <x:c r="Z193" s="16"/>
      <x:c r="AA193" s="16"/>
      <x:c r="AB193" s="16"/>
      <x:c r="AC193" s="16"/>
      <x:c r="AD193" s="16"/>
    </x:row>
    <x:row r="194">
      <x:c r="A194" s="24"/>
      <x:c r="B194" s="24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  <x:c r="W194" s="16"/>
      <x:c r="X194" s="16"/>
      <x:c r="Y194" s="16"/>
      <x:c r="Z194" s="16"/>
      <x:c r="AA194" s="16"/>
      <x:c r="AB194" s="16"/>
      <x:c r="AC194" s="16"/>
      <x:c r="AD194" s="16"/>
    </x:row>
    <x:row r="195">
      <x:c r="A195" s="24"/>
      <x:c r="B195" s="24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  <x:c r="W195" s="16"/>
      <x:c r="X195" s="16"/>
      <x:c r="Y195" s="16"/>
      <x:c r="Z195" s="16"/>
      <x:c r="AA195" s="16"/>
      <x:c r="AB195" s="16"/>
      <x:c r="AC195" s="16"/>
      <x:c r="AD195" s="16"/>
    </x:row>
    <x:row r="196">
      <x:c r="A196" s="24"/>
      <x:c r="B196" s="24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  <x:c r="W196" s="16"/>
      <x:c r="X196" s="16"/>
      <x:c r="Y196" s="16"/>
      <x:c r="Z196" s="16"/>
      <x:c r="AA196" s="16"/>
      <x:c r="AB196" s="16"/>
      <x:c r="AC196" s="16"/>
      <x:c r="AD196" s="16"/>
    </x:row>
    <x:row r="197">
      <x:c r="A197" s="24"/>
      <x:c r="B197" s="24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  <x:c r="W197" s="16"/>
      <x:c r="X197" s="16"/>
      <x:c r="Y197" s="16"/>
      <x:c r="Z197" s="16"/>
      <x:c r="AA197" s="16"/>
      <x:c r="AB197" s="16"/>
      <x:c r="AC197" s="16"/>
      <x:c r="AD197" s="16"/>
    </x:row>
    <x:row r="198">
      <x:c r="A198" s="24"/>
      <x:c r="B198" s="24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  <x:c r="W198" s="16"/>
      <x:c r="X198" s="16"/>
      <x:c r="Y198" s="16"/>
      <x:c r="Z198" s="16"/>
      <x:c r="AA198" s="16"/>
      <x:c r="AB198" s="16"/>
      <x:c r="AC198" s="16"/>
      <x:c r="AD198" s="16"/>
    </x:row>
    <x:row r="199">
      <x:c r="A199" s="24"/>
      <x:c r="B199" s="24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  <x:c r="W199" s="16"/>
      <x:c r="X199" s="16"/>
      <x:c r="Y199" s="16"/>
      <x:c r="Z199" s="16"/>
      <x:c r="AA199" s="16"/>
      <x:c r="AB199" s="16"/>
      <x:c r="AC199" s="16"/>
      <x:c r="AD199" s="16"/>
    </x:row>
    <x:row r="200">
      <x:c r="A200" s="24"/>
      <x:c r="B200" s="24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  <x:c r="W200" s="16"/>
      <x:c r="X200" s="16"/>
      <x:c r="Y200" s="16"/>
      <x:c r="Z200" s="16"/>
      <x:c r="AA200" s="16"/>
      <x:c r="AB200" s="16"/>
      <x:c r="AC200" s="16"/>
      <x:c r="AD200" s="16"/>
    </x:row>
    <x:row r="201">
      <x:c r="A201" s="24"/>
      <x:c r="B201" s="24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  <x:c r="W201" s="16"/>
      <x:c r="X201" s="16"/>
      <x:c r="Y201" s="16"/>
      <x:c r="Z201" s="16"/>
      <x:c r="AA201" s="16"/>
      <x:c r="AB201" s="16"/>
      <x:c r="AC201" s="16"/>
      <x:c r="AD201" s="16"/>
    </x:row>
    <x:row r="202">
      <x:c r="A202" s="24"/>
      <x:c r="B202" s="24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16"/>
      <x:c r="V202" s="16"/>
      <x:c r="W202" s="16"/>
      <x:c r="X202" s="16"/>
      <x:c r="Y202" s="16"/>
      <x:c r="Z202" s="16"/>
      <x:c r="AA202" s="16"/>
      <x:c r="AB202" s="16"/>
      <x:c r="AC202" s="16"/>
      <x:c r="AD202" s="16"/>
    </x:row>
    <x:row r="203">
      <x:c r="A203" s="24"/>
      <x:c r="B203" s="24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16"/>
      <x:c r="V203" s="16"/>
      <x:c r="W203" s="16"/>
      <x:c r="X203" s="16"/>
      <x:c r="Y203" s="16"/>
      <x:c r="Z203" s="16"/>
      <x:c r="AA203" s="16"/>
      <x:c r="AB203" s="16"/>
      <x:c r="AC203" s="16"/>
      <x:c r="AD203" s="16"/>
    </x:row>
    <x:row r="204">
      <x:c r="A204" s="24"/>
      <x:c r="B204" s="24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16"/>
      <x:c r="V204" s="16"/>
      <x:c r="W204" s="16"/>
      <x:c r="X204" s="16"/>
      <x:c r="Y204" s="16"/>
      <x:c r="Z204" s="16"/>
      <x:c r="AA204" s="16"/>
      <x:c r="AB204" s="16"/>
      <x:c r="AC204" s="16"/>
      <x:c r="AD204" s="16"/>
    </x:row>
    <x:row r="205">
      <x:c r="A205" s="24"/>
      <x:c r="B205" s="24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16"/>
      <x:c r="V205" s="16"/>
      <x:c r="W205" s="16"/>
      <x:c r="X205" s="16"/>
      <x:c r="Y205" s="16"/>
      <x:c r="Z205" s="16"/>
      <x:c r="AA205" s="16"/>
      <x:c r="AB205" s="16"/>
      <x:c r="AC205" s="16"/>
      <x:c r="AD205" s="16"/>
    </x:row>
    <x:row r="206">
      <x:c r="A206" s="24"/>
      <x:c r="B206" s="24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16"/>
      <x:c r="V206" s="16"/>
      <x:c r="W206" s="16"/>
      <x:c r="X206" s="16"/>
      <x:c r="Y206" s="16"/>
      <x:c r="Z206" s="16"/>
      <x:c r="AA206" s="16"/>
      <x:c r="AB206" s="16"/>
      <x:c r="AC206" s="16"/>
      <x:c r="AD206" s="16"/>
    </x:row>
    <x:row r="207">
      <x:c r="A207" s="24"/>
      <x:c r="B207" s="24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16"/>
      <x:c r="V207" s="16"/>
      <x:c r="W207" s="16"/>
      <x:c r="X207" s="16"/>
      <x:c r="Y207" s="16"/>
      <x:c r="Z207" s="16"/>
      <x:c r="AA207" s="16"/>
      <x:c r="AB207" s="16"/>
      <x:c r="AC207" s="16"/>
      <x:c r="AD207" s="16"/>
    </x:row>
    <x:row r="208">
      <x:c r="A208" s="24"/>
      <x:c r="B208" s="24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16"/>
      <x:c r="V208" s="16"/>
      <x:c r="W208" s="16"/>
      <x:c r="X208" s="16"/>
      <x:c r="Y208" s="16"/>
      <x:c r="Z208" s="16"/>
      <x:c r="AA208" s="16"/>
      <x:c r="AB208" s="16"/>
      <x:c r="AC208" s="16"/>
      <x:c r="AD208" s="16"/>
    </x:row>
    <x:row r="209">
      <x:c r="A209" s="24"/>
      <x:c r="B209" s="24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16"/>
      <x:c r="V209" s="16"/>
      <x:c r="W209" s="16"/>
      <x:c r="X209" s="16"/>
      <x:c r="Y209" s="16"/>
      <x:c r="Z209" s="16"/>
      <x:c r="AA209" s="16"/>
      <x:c r="AB209" s="16"/>
      <x:c r="AC209" s="16"/>
      <x:c r="AD209" s="16"/>
    </x:row>
    <x:row r="210">
      <x:c r="A210" s="24"/>
      <x:c r="B210" s="24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16"/>
      <x:c r="V210" s="16"/>
      <x:c r="W210" s="16"/>
      <x:c r="X210" s="16"/>
      <x:c r="Y210" s="16"/>
      <x:c r="Z210" s="16"/>
      <x:c r="AA210" s="16"/>
      <x:c r="AB210" s="16"/>
      <x:c r="AC210" s="16"/>
      <x:c r="AD210" s="16"/>
    </x:row>
    <x:row r="211">
      <x:c r="A211" s="24"/>
      <x:c r="B211" s="24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16"/>
      <x:c r="V211" s="16"/>
      <x:c r="W211" s="16"/>
      <x:c r="X211" s="16"/>
      <x:c r="Y211" s="16"/>
      <x:c r="Z211" s="16"/>
      <x:c r="AA211" s="16"/>
      <x:c r="AB211" s="16"/>
      <x:c r="AC211" s="16"/>
      <x:c r="AD211" s="16"/>
    </x:row>
    <x:row r="212">
      <x:c r="A212" s="24"/>
      <x:c r="B212" s="24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16"/>
      <x:c r="V212" s="16"/>
      <x:c r="W212" s="16"/>
      <x:c r="X212" s="16"/>
      <x:c r="Y212" s="16"/>
      <x:c r="Z212" s="16"/>
      <x:c r="AA212" s="16"/>
      <x:c r="AB212" s="16"/>
      <x:c r="AC212" s="16"/>
      <x:c r="AD212" s="16"/>
    </x:row>
    <x:row r="213">
      <x:c r="A213" s="24"/>
      <x:c r="B213" s="24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16"/>
      <x:c r="V213" s="16"/>
      <x:c r="W213" s="16"/>
      <x:c r="X213" s="16"/>
      <x:c r="Y213" s="16"/>
      <x:c r="Z213" s="16"/>
      <x:c r="AA213" s="16"/>
      <x:c r="AB213" s="16"/>
      <x:c r="AC213" s="16"/>
      <x:c r="AD213" s="16"/>
    </x:row>
    <x:row r="214">
      <x:c r="A214" s="24"/>
      <x:c r="B214" s="24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16"/>
      <x:c r="V214" s="16"/>
      <x:c r="W214" s="16"/>
      <x:c r="X214" s="16"/>
      <x:c r="Y214" s="16"/>
      <x:c r="Z214" s="16"/>
      <x:c r="AA214" s="16"/>
      <x:c r="AB214" s="16"/>
      <x:c r="AC214" s="16"/>
      <x:c r="AD214" s="16"/>
    </x:row>
    <x:row r="215">
      <x:c r="A215" s="24"/>
      <x:c r="B215" s="24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16"/>
      <x:c r="V215" s="16"/>
      <x:c r="W215" s="16"/>
      <x:c r="X215" s="16"/>
      <x:c r="Y215" s="16"/>
      <x:c r="Z215" s="16"/>
      <x:c r="AA215" s="16"/>
      <x:c r="AB215" s="16"/>
      <x:c r="AC215" s="16"/>
      <x:c r="AD215" s="16"/>
    </x:row>
    <x:row r="216">
      <x:c r="A216" s="24"/>
      <x:c r="B216" s="24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16"/>
      <x:c r="V216" s="16"/>
      <x:c r="W216" s="16"/>
      <x:c r="X216" s="16"/>
      <x:c r="Y216" s="16"/>
      <x:c r="Z216" s="16"/>
      <x:c r="AA216" s="16"/>
      <x:c r="AB216" s="16"/>
      <x:c r="AC216" s="16"/>
      <x:c r="AD216" s="16"/>
    </x:row>
    <x:row r="217">
      <x:c r="A217" s="24"/>
      <x:c r="B217" s="24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16"/>
      <x:c r="V217" s="16"/>
      <x:c r="W217" s="16"/>
      <x:c r="X217" s="16"/>
      <x:c r="Y217" s="16"/>
      <x:c r="Z217" s="16"/>
      <x:c r="AA217" s="16"/>
      <x:c r="AB217" s="16"/>
      <x:c r="AC217" s="16"/>
      <x:c r="AD217" s="16"/>
    </x:row>
    <x:row r="218">
      <x:c r="A218" s="24"/>
      <x:c r="B218" s="24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16"/>
      <x:c r="V218" s="16"/>
      <x:c r="W218" s="16"/>
      <x:c r="X218" s="16"/>
      <x:c r="Y218" s="16"/>
      <x:c r="Z218" s="16"/>
      <x:c r="AA218" s="16"/>
      <x:c r="AB218" s="16"/>
      <x:c r="AC218" s="16"/>
      <x:c r="AD218" s="16"/>
    </x:row>
    <x:row r="219">
      <x:c r="A219" s="24"/>
      <x:c r="B219" s="24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16"/>
      <x:c r="V219" s="16"/>
      <x:c r="W219" s="16"/>
      <x:c r="X219" s="16"/>
      <x:c r="Y219" s="16"/>
      <x:c r="Z219" s="16"/>
      <x:c r="AA219" s="16"/>
      <x:c r="AB219" s="16"/>
      <x:c r="AC219" s="16"/>
      <x:c r="AD219" s="16"/>
    </x:row>
    <x:row r="220">
      <x:c r="A220" s="24"/>
      <x:c r="B220" s="24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16"/>
      <x:c r="V220" s="16"/>
      <x:c r="W220" s="16"/>
      <x:c r="X220" s="16"/>
      <x:c r="Y220" s="16"/>
      <x:c r="Z220" s="16"/>
      <x:c r="AA220" s="16"/>
      <x:c r="AB220" s="16"/>
      <x:c r="AC220" s="16"/>
      <x:c r="AD220" s="16"/>
    </x:row>
    <x:row r="221">
      <x:c r="A221" s="24"/>
      <x:c r="B221" s="24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16"/>
      <x:c r="V221" s="16"/>
      <x:c r="W221" s="16"/>
      <x:c r="X221" s="16"/>
      <x:c r="Y221" s="16"/>
      <x:c r="Z221" s="16"/>
      <x:c r="AA221" s="16"/>
      <x:c r="AB221" s="16"/>
      <x:c r="AC221" s="16"/>
      <x:c r="AD221" s="16"/>
    </x:row>
    <x:row r="222">
      <x:c r="A222" s="24"/>
      <x:c r="B222" s="24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16"/>
      <x:c r="V222" s="16"/>
      <x:c r="W222" s="16"/>
      <x:c r="X222" s="16"/>
      <x:c r="Y222" s="16"/>
      <x:c r="Z222" s="16"/>
      <x:c r="AA222" s="16"/>
      <x:c r="AB222" s="16"/>
      <x:c r="AC222" s="16"/>
      <x:c r="AD222" s="16"/>
    </x:row>
    <x:row r="223">
      <x:c r="A223" s="24"/>
      <x:c r="B223" s="24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16"/>
      <x:c r="V223" s="16"/>
      <x:c r="W223" s="16"/>
      <x:c r="X223" s="16"/>
      <x:c r="Y223" s="16"/>
      <x:c r="Z223" s="16"/>
      <x:c r="AA223" s="16"/>
      <x:c r="AB223" s="16"/>
      <x:c r="AC223" s="16"/>
      <x:c r="AD223" s="16"/>
    </x:row>
    <x:row r="224">
      <x:c r="A224" s="24"/>
      <x:c r="B224" s="24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16"/>
      <x:c r="V224" s="16"/>
      <x:c r="W224" s="16"/>
      <x:c r="X224" s="16"/>
      <x:c r="Y224" s="16"/>
      <x:c r="Z224" s="16"/>
      <x:c r="AA224" s="16"/>
      <x:c r="AB224" s="16"/>
      <x:c r="AC224" s="16"/>
      <x:c r="AD224" s="16"/>
    </x:row>
    <x:row r="225">
      <x:c r="A225" s="24"/>
      <x:c r="B225" s="24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16"/>
      <x:c r="V225" s="16"/>
      <x:c r="W225" s="16"/>
      <x:c r="X225" s="16"/>
      <x:c r="Y225" s="16"/>
      <x:c r="Z225" s="16"/>
      <x:c r="AA225" s="16"/>
      <x:c r="AB225" s="16"/>
      <x:c r="AC225" s="16"/>
      <x:c r="AD225" s="16"/>
    </x:row>
    <x:row r="226">
      <x:c r="A226" s="24"/>
      <x:c r="B226" s="24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16"/>
      <x:c r="V226" s="16"/>
      <x:c r="W226" s="16"/>
      <x:c r="X226" s="16"/>
      <x:c r="Y226" s="16"/>
      <x:c r="Z226" s="16"/>
      <x:c r="AA226" s="16"/>
      <x:c r="AB226" s="16"/>
      <x:c r="AC226" s="16"/>
      <x:c r="AD226" s="16"/>
    </x:row>
    <x:row r="227">
      <x:c r="A227" s="24"/>
      <x:c r="B227" s="24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16"/>
      <x:c r="V227" s="16"/>
      <x:c r="W227" s="16"/>
      <x:c r="X227" s="16"/>
      <x:c r="Y227" s="16"/>
      <x:c r="Z227" s="16"/>
      <x:c r="AA227" s="16"/>
      <x:c r="AB227" s="16"/>
      <x:c r="AC227" s="16"/>
      <x:c r="AD227" s="16"/>
    </x:row>
    <x:row r="228">
      <x:c r="A228" s="24"/>
      <x:c r="B228" s="24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16"/>
      <x:c r="V228" s="16"/>
      <x:c r="W228" s="16"/>
      <x:c r="X228" s="16"/>
      <x:c r="Y228" s="16"/>
      <x:c r="Z228" s="16"/>
      <x:c r="AA228" s="16"/>
      <x:c r="AB228" s="16"/>
      <x:c r="AC228" s="16"/>
      <x:c r="AD228" s="16"/>
    </x:row>
    <x:row r="229">
      <x:c r="A229" s="24"/>
      <x:c r="B229" s="24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16"/>
      <x:c r="V229" s="16"/>
      <x:c r="W229" s="16"/>
      <x:c r="X229" s="16"/>
      <x:c r="Y229" s="16"/>
      <x:c r="Z229" s="16"/>
      <x:c r="AA229" s="16"/>
      <x:c r="AB229" s="16"/>
      <x:c r="AC229" s="16"/>
      <x:c r="AD229" s="16"/>
    </x:row>
    <x:row r="230">
      <x:c r="A230" s="24"/>
      <x:c r="B230" s="24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16"/>
      <x:c r="V230" s="16"/>
      <x:c r="W230" s="16"/>
      <x:c r="X230" s="16"/>
      <x:c r="Y230" s="16"/>
      <x:c r="Z230" s="16"/>
      <x:c r="AA230" s="16"/>
      <x:c r="AB230" s="16"/>
      <x:c r="AC230" s="16"/>
      <x:c r="AD230" s="16"/>
    </x:row>
    <x:row r="231">
      <x:c r="A231" s="24"/>
      <x:c r="B231" s="24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16"/>
      <x:c r="V231" s="16"/>
      <x:c r="W231" s="16"/>
      <x:c r="X231" s="16"/>
      <x:c r="Y231" s="16"/>
      <x:c r="Z231" s="16"/>
      <x:c r="AA231" s="16"/>
      <x:c r="AB231" s="16"/>
      <x:c r="AC231" s="16"/>
      <x:c r="AD231" s="16"/>
    </x:row>
    <x:row r="232">
      <x:c r="A232" s="24"/>
      <x:c r="B232" s="24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16"/>
      <x:c r="V232" s="16"/>
      <x:c r="W232" s="16"/>
      <x:c r="X232" s="16"/>
      <x:c r="Y232" s="16"/>
      <x:c r="Z232" s="16"/>
      <x:c r="AA232" s="16"/>
      <x:c r="AB232" s="16"/>
      <x:c r="AC232" s="16"/>
      <x:c r="AD232" s="16"/>
    </x:row>
    <x:row r="233">
      <x:c r="A233" s="24"/>
      <x:c r="B233" s="24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16"/>
      <x:c r="V233" s="16"/>
      <x:c r="W233" s="16"/>
      <x:c r="X233" s="16"/>
      <x:c r="Y233" s="16"/>
      <x:c r="Z233" s="16"/>
      <x:c r="AA233" s="16"/>
      <x:c r="AB233" s="16"/>
      <x:c r="AC233" s="16"/>
      <x:c r="AD233" s="16"/>
    </x:row>
    <x:row r="234">
      <x:c r="A234" s="24"/>
      <x:c r="B234" s="24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16"/>
      <x:c r="V234" s="16"/>
      <x:c r="W234" s="16"/>
      <x:c r="X234" s="16"/>
      <x:c r="Y234" s="16"/>
      <x:c r="Z234" s="16"/>
      <x:c r="AA234" s="16"/>
      <x:c r="AB234" s="16"/>
      <x:c r="AC234" s="16"/>
      <x:c r="AD234" s="16"/>
    </x:row>
    <x:row r="235">
      <x:c r="A235" s="24"/>
      <x:c r="B235" s="24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16"/>
      <x:c r="V235" s="16"/>
      <x:c r="W235" s="16"/>
      <x:c r="X235" s="16"/>
      <x:c r="Y235" s="16"/>
      <x:c r="Z235" s="16"/>
      <x:c r="AA235" s="16"/>
      <x:c r="AB235" s="16"/>
      <x:c r="AC235" s="16"/>
      <x:c r="AD235" s="16"/>
    </x:row>
    <x:row r="236">
      <x:c r="A236" s="24"/>
      <x:c r="B236" s="24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16"/>
      <x:c r="V236" s="16"/>
      <x:c r="W236" s="16"/>
      <x:c r="X236" s="16"/>
      <x:c r="Y236" s="16"/>
      <x:c r="Z236" s="16"/>
      <x:c r="AA236" s="16"/>
      <x:c r="AB236" s="16"/>
      <x:c r="AC236" s="16"/>
      <x:c r="AD236" s="16"/>
    </x:row>
    <x:row r="237">
      <x:c r="A237" s="24"/>
      <x:c r="B237" s="24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16"/>
      <x:c r="V237" s="16"/>
      <x:c r="W237" s="16"/>
      <x:c r="X237" s="16"/>
      <x:c r="Y237" s="16"/>
      <x:c r="Z237" s="16"/>
      <x:c r="AA237" s="16"/>
      <x:c r="AB237" s="16"/>
      <x:c r="AC237" s="16"/>
      <x:c r="AD237" s="16"/>
    </x:row>
    <x:row r="238">
      <x:c r="A238" s="24"/>
      <x:c r="B238" s="24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16"/>
      <x:c r="V238" s="16"/>
      <x:c r="W238" s="16"/>
      <x:c r="X238" s="16"/>
      <x:c r="Y238" s="16"/>
      <x:c r="Z238" s="16"/>
      <x:c r="AA238" s="16"/>
      <x:c r="AB238" s="16"/>
      <x:c r="AC238" s="16"/>
      <x:c r="AD238" s="16"/>
    </x:row>
    <x:row r="239">
      <x:c r="A239" s="24"/>
      <x:c r="B239" s="24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16"/>
      <x:c r="V239" s="16"/>
      <x:c r="W239" s="16"/>
      <x:c r="X239" s="16"/>
      <x:c r="Y239" s="16"/>
      <x:c r="Z239" s="16"/>
      <x:c r="AA239" s="16"/>
      <x:c r="AB239" s="16"/>
      <x:c r="AC239" s="16"/>
      <x:c r="AD239" s="16"/>
    </x:row>
    <x:row r="240">
      <x:c r="A240" s="24"/>
      <x:c r="B240" s="24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16"/>
      <x:c r="V240" s="16"/>
      <x:c r="W240" s="16"/>
      <x:c r="X240" s="16"/>
      <x:c r="Y240" s="16"/>
      <x:c r="Z240" s="16"/>
      <x:c r="AA240" s="16"/>
      <x:c r="AB240" s="16"/>
      <x:c r="AC240" s="16"/>
      <x:c r="AD240" s="16"/>
    </x:row>
    <x:row r="241">
      <x:c r="A241" s="24"/>
      <x:c r="B241" s="24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16"/>
      <x:c r="V241" s="16"/>
      <x:c r="W241" s="16"/>
      <x:c r="X241" s="16"/>
      <x:c r="Y241" s="16"/>
      <x:c r="Z241" s="16"/>
      <x:c r="AA241" s="16"/>
      <x:c r="AB241" s="16"/>
      <x:c r="AC241" s="16"/>
      <x:c r="AD241" s="16"/>
    </x:row>
    <x:row r="242">
      <x:c r="A242" s="24"/>
      <x:c r="B242" s="24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16"/>
      <x:c r="V242" s="16"/>
      <x:c r="W242" s="16"/>
      <x:c r="X242" s="16"/>
      <x:c r="Y242" s="16"/>
      <x:c r="Z242" s="16"/>
      <x:c r="AA242" s="16"/>
      <x:c r="AB242" s="16"/>
      <x:c r="AC242" s="16"/>
      <x:c r="AD242" s="16"/>
    </x:row>
    <x:row r="243">
      <x:c r="A243" s="24"/>
      <x:c r="B243" s="24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16"/>
      <x:c r="V243" s="16"/>
      <x:c r="W243" s="16"/>
      <x:c r="X243" s="16"/>
      <x:c r="Y243" s="16"/>
      <x:c r="Z243" s="16"/>
      <x:c r="AA243" s="16"/>
      <x:c r="AB243" s="16"/>
      <x:c r="AC243" s="16"/>
      <x:c r="AD243" s="16"/>
    </x:row>
    <x:row r="244">
      <x:c r="A244" s="24"/>
      <x:c r="B244" s="24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16"/>
      <x:c r="V244" s="16"/>
      <x:c r="W244" s="16"/>
      <x:c r="X244" s="16"/>
      <x:c r="Y244" s="16"/>
      <x:c r="Z244" s="16"/>
      <x:c r="AA244" s="16"/>
      <x:c r="AB244" s="16"/>
      <x:c r="AC244" s="16"/>
      <x:c r="AD244" s="16"/>
    </x:row>
    <x:row r="245">
      <x:c r="A245" s="24"/>
      <x:c r="B245" s="24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16"/>
      <x:c r="V245" s="16"/>
      <x:c r="W245" s="16"/>
      <x:c r="X245" s="16"/>
      <x:c r="Y245" s="16"/>
      <x:c r="Z245" s="16"/>
      <x:c r="AA245" s="16"/>
      <x:c r="AB245" s="16"/>
      <x:c r="AC245" s="16"/>
      <x:c r="AD245" s="16"/>
    </x:row>
    <x:row r="246">
      <x:c r="A246" s="24"/>
      <x:c r="B246" s="24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16"/>
      <x:c r="V246" s="16"/>
      <x:c r="W246" s="16"/>
      <x:c r="X246" s="16"/>
      <x:c r="Y246" s="16"/>
      <x:c r="Z246" s="16"/>
      <x:c r="AA246" s="16"/>
      <x:c r="AB246" s="16"/>
      <x:c r="AC246" s="16"/>
      <x:c r="AD246" s="16"/>
    </x:row>
    <x:row r="247">
      <x:c r="A247" s="24"/>
      <x:c r="B247" s="24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16"/>
      <x:c r="V247" s="16"/>
      <x:c r="W247" s="16"/>
      <x:c r="X247" s="16"/>
      <x:c r="Y247" s="16"/>
      <x:c r="Z247" s="16"/>
      <x:c r="AA247" s="16"/>
      <x:c r="AB247" s="16"/>
      <x:c r="AC247" s="16"/>
      <x:c r="AD247" s="16"/>
    </x:row>
    <x:row r="248">
      <x:c r="A248" s="24"/>
      <x:c r="B248" s="24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16"/>
      <x:c r="V248" s="16"/>
      <x:c r="W248" s="16"/>
      <x:c r="X248" s="16"/>
      <x:c r="Y248" s="16"/>
      <x:c r="Z248" s="16"/>
      <x:c r="AA248" s="16"/>
      <x:c r="AB248" s="16"/>
      <x:c r="AC248" s="16"/>
      <x:c r="AD248" s="16"/>
    </x:row>
    <x:row r="249">
      <x:c r="A249" s="24"/>
      <x:c r="B249" s="24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16"/>
      <x:c r="V249" s="16"/>
      <x:c r="W249" s="16"/>
      <x:c r="X249" s="16"/>
      <x:c r="Y249" s="16"/>
      <x:c r="Z249" s="16"/>
      <x:c r="AA249" s="16"/>
      <x:c r="AB249" s="16"/>
      <x:c r="AC249" s="16"/>
      <x:c r="AD249" s="16"/>
    </x:row>
    <x:row r="250">
      <x:c r="A250" s="24"/>
      <x:c r="B250" s="24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16"/>
      <x:c r="V250" s="16"/>
      <x:c r="W250" s="16"/>
      <x:c r="X250" s="16"/>
      <x:c r="Y250" s="16"/>
      <x:c r="Z250" s="16"/>
      <x:c r="AA250" s="16"/>
      <x:c r="AB250" s="16"/>
      <x:c r="AC250" s="16"/>
      <x:c r="AD250" s="16"/>
    </x:row>
    <x:row r="251">
      <x:c r="A251" s="24"/>
      <x:c r="B251" s="24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16"/>
      <x:c r="V251" s="16"/>
      <x:c r="W251" s="16"/>
      <x:c r="X251" s="16"/>
      <x:c r="Y251" s="16"/>
      <x:c r="Z251" s="16"/>
      <x:c r="AA251" s="16"/>
      <x:c r="AB251" s="16"/>
      <x:c r="AC251" s="16"/>
      <x:c r="AD251" s="16"/>
    </x:row>
    <x:row r="252">
      <x:c r="A252" s="24"/>
      <x:c r="B252" s="24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16"/>
      <x:c r="V252" s="16"/>
      <x:c r="W252" s="16"/>
      <x:c r="X252" s="16"/>
      <x:c r="Y252" s="16"/>
      <x:c r="Z252" s="16"/>
      <x:c r="AA252" s="16"/>
      <x:c r="AB252" s="16"/>
      <x:c r="AC252" s="16"/>
      <x:c r="AD252" s="16"/>
    </x:row>
    <x:row r="253">
      <x:c r="A253" s="24"/>
      <x:c r="B253" s="24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16"/>
      <x:c r="V253" s="16"/>
      <x:c r="W253" s="16"/>
      <x:c r="X253" s="16"/>
      <x:c r="Y253" s="16"/>
      <x:c r="Z253" s="16"/>
      <x:c r="AA253" s="16"/>
      <x:c r="AB253" s="16"/>
      <x:c r="AC253" s="16"/>
      <x:c r="AD253" s="16"/>
    </x:row>
    <x:row r="254">
      <x:c r="A254" s="24"/>
      <x:c r="B254" s="24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16"/>
      <x:c r="V254" s="16"/>
      <x:c r="W254" s="16"/>
      <x:c r="X254" s="16"/>
      <x:c r="Y254" s="16"/>
      <x:c r="Z254" s="16"/>
      <x:c r="AA254" s="16"/>
      <x:c r="AB254" s="16"/>
      <x:c r="AC254" s="16"/>
      <x:c r="AD254" s="16"/>
    </x:row>
    <x:row r="255">
      <x:c r="A255" s="24"/>
      <x:c r="B255" s="24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16"/>
      <x:c r="V255" s="16"/>
      <x:c r="W255" s="16"/>
      <x:c r="X255" s="16"/>
      <x:c r="Y255" s="16"/>
      <x:c r="Z255" s="16"/>
      <x:c r="AA255" s="16"/>
      <x:c r="AB255" s="16"/>
      <x:c r="AC255" s="16"/>
      <x:c r="AD255" s="16"/>
    </x:row>
    <x:row r="256">
      <x:c r="A256" s="24"/>
      <x:c r="B256" s="24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16"/>
      <x:c r="V256" s="16"/>
      <x:c r="W256" s="16"/>
      <x:c r="X256" s="16"/>
      <x:c r="Y256" s="16"/>
      <x:c r="Z256" s="16"/>
      <x:c r="AA256" s="16"/>
      <x:c r="AB256" s="16"/>
      <x:c r="AC256" s="16"/>
      <x:c r="AD256" s="16"/>
    </x:row>
    <x:row r="257">
      <x:c r="A257" s="24"/>
      <x:c r="B257" s="24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16"/>
      <x:c r="V257" s="16"/>
      <x:c r="W257" s="16"/>
      <x:c r="X257" s="16"/>
      <x:c r="Y257" s="16"/>
      <x:c r="Z257" s="16"/>
      <x:c r="AA257" s="16"/>
      <x:c r="AB257" s="16"/>
      <x:c r="AC257" s="16"/>
      <x:c r="AD257" s="16"/>
    </x:row>
    <x:row r="258">
      <x:c r="A258" s="24"/>
      <x:c r="B258" s="24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16"/>
      <x:c r="V258" s="16"/>
      <x:c r="W258" s="16"/>
      <x:c r="X258" s="16"/>
      <x:c r="Y258" s="16"/>
      <x:c r="Z258" s="16"/>
      <x:c r="AA258" s="16"/>
      <x:c r="AB258" s="16"/>
      <x:c r="AC258" s="16"/>
      <x:c r="AD258" s="16"/>
    </x:row>
    <x:row r="259">
      <x:c r="A259" s="24"/>
      <x:c r="B259" s="24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16"/>
      <x:c r="V259" s="16"/>
      <x:c r="W259" s="16"/>
      <x:c r="X259" s="16"/>
      <x:c r="Y259" s="16"/>
      <x:c r="Z259" s="16"/>
      <x:c r="AA259" s="16"/>
      <x:c r="AB259" s="16"/>
      <x:c r="AC259" s="16"/>
      <x:c r="AD259" s="16"/>
    </x:row>
    <x:row r="260">
      <x:c r="A260" s="24"/>
      <x:c r="B260" s="24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16"/>
      <x:c r="V260" s="16"/>
      <x:c r="W260" s="16"/>
      <x:c r="X260" s="16"/>
      <x:c r="Y260" s="16"/>
      <x:c r="Z260" s="16"/>
      <x:c r="AA260" s="16"/>
      <x:c r="AB260" s="16"/>
      <x:c r="AC260" s="16"/>
      <x:c r="AD260" s="16"/>
    </x:row>
    <x:row r="261">
      <x:c r="A261" s="24"/>
      <x:c r="B261" s="24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16"/>
      <x:c r="V261" s="16"/>
      <x:c r="W261" s="16"/>
      <x:c r="X261" s="16"/>
      <x:c r="Y261" s="16"/>
      <x:c r="Z261" s="16"/>
      <x:c r="AA261" s="16"/>
      <x:c r="AB261" s="16"/>
      <x:c r="AC261" s="16"/>
      <x:c r="AD261" s="16"/>
    </x:row>
    <x:row r="262">
      <x:c r="A262" s="24"/>
      <x:c r="B262" s="24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16"/>
      <x:c r="V262" s="16"/>
      <x:c r="W262" s="16"/>
      <x:c r="X262" s="16"/>
      <x:c r="Y262" s="16"/>
      <x:c r="Z262" s="16"/>
      <x:c r="AA262" s="16"/>
      <x:c r="AB262" s="16"/>
      <x:c r="AC262" s="16"/>
      <x:c r="AD262" s="16"/>
    </x:row>
    <x:row r="263">
      <x:c r="A263" s="24"/>
      <x:c r="B263" s="24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16"/>
      <x:c r="V263" s="16"/>
      <x:c r="W263" s="16"/>
      <x:c r="X263" s="16"/>
      <x:c r="Y263" s="16"/>
      <x:c r="Z263" s="16"/>
      <x:c r="AA263" s="16"/>
      <x:c r="AB263" s="16"/>
      <x:c r="AC263" s="16"/>
      <x:c r="AD263" s="16"/>
    </x:row>
    <x:row r="264">
      <x:c r="A264" s="24"/>
      <x:c r="B264" s="24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16"/>
      <x:c r="V264" s="16"/>
      <x:c r="W264" s="16"/>
      <x:c r="X264" s="16"/>
      <x:c r="Y264" s="16"/>
      <x:c r="Z264" s="16"/>
      <x:c r="AA264" s="16"/>
      <x:c r="AB264" s="16"/>
      <x:c r="AC264" s="16"/>
      <x:c r="AD264" s="16"/>
    </x:row>
    <x:row r="265">
      <x:c r="A265" s="24"/>
      <x:c r="B265" s="24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16"/>
      <x:c r="V265" s="16"/>
      <x:c r="W265" s="16"/>
      <x:c r="X265" s="16"/>
      <x:c r="Y265" s="16"/>
      <x:c r="Z265" s="16"/>
      <x:c r="AA265" s="16"/>
      <x:c r="AB265" s="16"/>
      <x:c r="AC265" s="16"/>
      <x:c r="AD265" s="16"/>
    </x:row>
    <x:row r="266">
      <x:c r="A266" s="24"/>
      <x:c r="B266" s="24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16"/>
      <x:c r="V266" s="16"/>
      <x:c r="W266" s="16"/>
      <x:c r="X266" s="16"/>
      <x:c r="Y266" s="16"/>
      <x:c r="Z266" s="16"/>
      <x:c r="AA266" s="16"/>
      <x:c r="AB266" s="16"/>
      <x:c r="AC266" s="16"/>
      <x:c r="AD266" s="16"/>
    </x:row>
    <x:row r="267">
      <x:c r="A267" s="24"/>
      <x:c r="B267" s="24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16"/>
      <x:c r="V267" s="16"/>
      <x:c r="W267" s="16"/>
      <x:c r="X267" s="16"/>
      <x:c r="Y267" s="16"/>
      <x:c r="Z267" s="16"/>
      <x:c r="AA267" s="16"/>
      <x:c r="AB267" s="16"/>
      <x:c r="AC267" s="16"/>
      <x:c r="AD267" s="16"/>
    </x:row>
    <x:row r="268">
      <x:c r="A268" s="24"/>
      <x:c r="B268" s="24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16"/>
      <x:c r="V268" s="16"/>
      <x:c r="W268" s="16"/>
      <x:c r="X268" s="16"/>
      <x:c r="Y268" s="16"/>
      <x:c r="Z268" s="16"/>
      <x:c r="AA268" s="16"/>
      <x:c r="AB268" s="16"/>
      <x:c r="AC268" s="16"/>
      <x:c r="AD268" s="16"/>
    </x:row>
    <x:row r="269">
      <x:c r="A269" s="24"/>
      <x:c r="B269" s="24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16"/>
      <x:c r="V269" s="16"/>
      <x:c r="W269" s="16"/>
      <x:c r="X269" s="16"/>
      <x:c r="Y269" s="16"/>
      <x:c r="Z269" s="16"/>
      <x:c r="AA269" s="16"/>
      <x:c r="AB269" s="16"/>
      <x:c r="AC269" s="16"/>
      <x:c r="AD269" s="16"/>
    </x:row>
    <x:row r="270">
      <x:c r="A270" s="24"/>
      <x:c r="B270" s="24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16"/>
      <x:c r="V270" s="16"/>
      <x:c r="W270" s="16"/>
      <x:c r="X270" s="16"/>
      <x:c r="Y270" s="16"/>
      <x:c r="Z270" s="16"/>
      <x:c r="AA270" s="16"/>
      <x:c r="AB270" s="16"/>
      <x:c r="AC270" s="16"/>
      <x:c r="AD270" s="16"/>
    </x:row>
    <x:row r="271">
      <x:c r="A271" s="24"/>
      <x:c r="B271" s="24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16"/>
      <x:c r="V271" s="16"/>
      <x:c r="W271" s="16"/>
      <x:c r="X271" s="16"/>
      <x:c r="Y271" s="16"/>
      <x:c r="Z271" s="16"/>
      <x:c r="AA271" s="16"/>
      <x:c r="AB271" s="16"/>
      <x:c r="AC271" s="16"/>
      <x:c r="AD271" s="16"/>
    </x:row>
    <x:row r="272">
      <x:c r="A272" s="24"/>
      <x:c r="B272" s="24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16"/>
      <x:c r="V272" s="16"/>
      <x:c r="W272" s="16"/>
      <x:c r="X272" s="16"/>
      <x:c r="Y272" s="16"/>
      <x:c r="Z272" s="16"/>
      <x:c r="AA272" s="16"/>
      <x:c r="AB272" s="16"/>
      <x:c r="AC272" s="16"/>
      <x:c r="AD272" s="16"/>
    </x:row>
    <x:row r="273">
      <x:c r="A273" s="24"/>
      <x:c r="B273" s="24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16"/>
      <x:c r="V273" s="16"/>
      <x:c r="W273" s="16"/>
      <x:c r="X273" s="16"/>
      <x:c r="Y273" s="16"/>
      <x:c r="Z273" s="16"/>
      <x:c r="AA273" s="16"/>
      <x:c r="AB273" s="16"/>
      <x:c r="AC273" s="16"/>
      <x:c r="AD273" s="16"/>
    </x:row>
    <x:row r="274">
      <x:c r="A274" s="24"/>
      <x:c r="B274" s="24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16"/>
      <x:c r="V274" s="16"/>
      <x:c r="W274" s="16"/>
      <x:c r="X274" s="16"/>
      <x:c r="Y274" s="16"/>
      <x:c r="Z274" s="16"/>
      <x:c r="AA274" s="16"/>
      <x:c r="AB274" s="16"/>
      <x:c r="AC274" s="16"/>
      <x:c r="AD274" s="16"/>
    </x:row>
    <x:row r="275">
      <x:c r="A275" s="24"/>
      <x:c r="B275" s="24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16"/>
      <x:c r="V275" s="16"/>
      <x:c r="W275" s="16"/>
      <x:c r="X275" s="16"/>
      <x:c r="Y275" s="16"/>
      <x:c r="Z275" s="16"/>
      <x:c r="AA275" s="16"/>
      <x:c r="AB275" s="16"/>
      <x:c r="AC275" s="16"/>
      <x:c r="AD275" s="16"/>
    </x:row>
    <x:row r="276">
      <x:c r="A276" s="24"/>
      <x:c r="B276" s="24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16"/>
      <x:c r="V276" s="16"/>
      <x:c r="W276" s="16"/>
      <x:c r="X276" s="16"/>
      <x:c r="Y276" s="16"/>
      <x:c r="Z276" s="16"/>
      <x:c r="AA276" s="16"/>
      <x:c r="AB276" s="16"/>
      <x:c r="AC276" s="16"/>
      <x:c r="AD276" s="16"/>
    </x:row>
    <x:row r="277">
      <x:c r="A277" s="24"/>
      <x:c r="B277" s="24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16"/>
      <x:c r="V277" s="16"/>
      <x:c r="W277" s="16"/>
      <x:c r="X277" s="16"/>
      <x:c r="Y277" s="16"/>
      <x:c r="Z277" s="16"/>
      <x:c r="AA277" s="16"/>
      <x:c r="AB277" s="16"/>
      <x:c r="AC277" s="16"/>
      <x:c r="AD277" s="16"/>
    </x:row>
    <x:row r="278">
      <x:c r="A278" s="24"/>
      <x:c r="B278" s="24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16"/>
      <x:c r="V278" s="16"/>
      <x:c r="W278" s="16"/>
      <x:c r="X278" s="16"/>
      <x:c r="Y278" s="16"/>
      <x:c r="Z278" s="16"/>
      <x:c r="AA278" s="16"/>
      <x:c r="AB278" s="16"/>
      <x:c r="AC278" s="16"/>
      <x:c r="AD278" s="16"/>
    </x:row>
    <x:row r="279">
      <x:c r="A279" s="24"/>
      <x:c r="B279" s="24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16"/>
      <x:c r="V279" s="16"/>
      <x:c r="W279" s="16"/>
      <x:c r="X279" s="16"/>
      <x:c r="Y279" s="16"/>
      <x:c r="Z279" s="16"/>
      <x:c r="AA279" s="16"/>
      <x:c r="AB279" s="16"/>
      <x:c r="AC279" s="16"/>
      <x:c r="AD279" s="16"/>
    </x:row>
    <x:row r="280">
      <x:c r="A280" s="24"/>
      <x:c r="B280" s="24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16"/>
      <x:c r="V280" s="16"/>
      <x:c r="W280" s="16"/>
      <x:c r="X280" s="16"/>
      <x:c r="Y280" s="16"/>
      <x:c r="Z280" s="16"/>
      <x:c r="AA280" s="16"/>
      <x:c r="AB280" s="16"/>
      <x:c r="AC280" s="16"/>
      <x:c r="AD280" s="16"/>
    </x:row>
    <x:row r="281">
      <x:c r="A281" s="24"/>
      <x:c r="B281" s="24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16"/>
      <x:c r="V281" s="16"/>
      <x:c r="W281" s="16"/>
      <x:c r="X281" s="16"/>
      <x:c r="Y281" s="16"/>
      <x:c r="Z281" s="16"/>
      <x:c r="AA281" s="16"/>
      <x:c r="AB281" s="16"/>
      <x:c r="AC281" s="16"/>
      <x:c r="AD281" s="16"/>
    </x:row>
    <x:row r="282">
      <x:c r="A282" s="24"/>
      <x:c r="B282" s="24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16"/>
      <x:c r="V282" s="16"/>
      <x:c r="W282" s="16"/>
      <x:c r="X282" s="16"/>
      <x:c r="Y282" s="16"/>
      <x:c r="Z282" s="16"/>
      <x:c r="AA282" s="16"/>
      <x:c r="AB282" s="16"/>
      <x:c r="AC282" s="16"/>
      <x:c r="AD282" s="16"/>
    </x:row>
    <x:row r="283">
      <x:c r="A283" s="24"/>
      <x:c r="B283" s="24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16"/>
      <x:c r="V283" s="16"/>
      <x:c r="W283" s="16"/>
      <x:c r="X283" s="16"/>
      <x:c r="Y283" s="16"/>
      <x:c r="Z283" s="16"/>
      <x:c r="AA283" s="16"/>
      <x:c r="AB283" s="16"/>
      <x:c r="AC283" s="16"/>
      <x:c r="AD283" s="16"/>
    </x:row>
    <x:row r="284">
      <x:c r="A284" s="24"/>
      <x:c r="B284" s="24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16"/>
      <x:c r="V284" s="16"/>
      <x:c r="W284" s="16"/>
      <x:c r="X284" s="16"/>
      <x:c r="Y284" s="16"/>
      <x:c r="Z284" s="16"/>
      <x:c r="AA284" s="16"/>
      <x:c r="AB284" s="16"/>
      <x:c r="AC284" s="16"/>
      <x:c r="AD284" s="16"/>
    </x:row>
    <x:row r="285">
      <x:c r="A285" s="24"/>
      <x:c r="B285" s="24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16"/>
      <x:c r="V285" s="16"/>
      <x:c r="W285" s="16"/>
      <x:c r="X285" s="16"/>
      <x:c r="Y285" s="16"/>
      <x:c r="Z285" s="16"/>
      <x:c r="AA285" s="16"/>
      <x:c r="AB285" s="16"/>
      <x:c r="AC285" s="16"/>
      <x:c r="AD285" s="16"/>
    </x:row>
    <x:row r="286">
      <x:c r="A286" s="24"/>
      <x:c r="B286" s="24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16"/>
      <x:c r="V286" s="16"/>
      <x:c r="W286" s="16"/>
      <x:c r="X286" s="16"/>
      <x:c r="Y286" s="16"/>
      <x:c r="Z286" s="16"/>
      <x:c r="AA286" s="16"/>
      <x:c r="AB286" s="16"/>
      <x:c r="AC286" s="16"/>
      <x:c r="AD286" s="16"/>
    </x:row>
    <x:row r="287">
      <x:c r="A287" s="24"/>
      <x:c r="B287" s="24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16"/>
      <x:c r="V287" s="16"/>
      <x:c r="W287" s="16"/>
      <x:c r="X287" s="16"/>
      <x:c r="Y287" s="16"/>
      <x:c r="Z287" s="16"/>
      <x:c r="AA287" s="16"/>
      <x:c r="AB287" s="16"/>
      <x:c r="AC287" s="16"/>
      <x:c r="AD287" s="16"/>
    </x:row>
    <x:row r="288">
      <x:c r="A288" s="24"/>
      <x:c r="B288" s="24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16"/>
      <x:c r="V288" s="16"/>
      <x:c r="W288" s="16"/>
      <x:c r="X288" s="16"/>
      <x:c r="Y288" s="16"/>
      <x:c r="Z288" s="16"/>
      <x:c r="AA288" s="16"/>
      <x:c r="AB288" s="16"/>
      <x:c r="AC288" s="16"/>
      <x:c r="AD288" s="16"/>
    </x:row>
    <x:row r="289">
      <x:c r="A289" s="24"/>
      <x:c r="B289" s="24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16"/>
      <x:c r="V289" s="16"/>
      <x:c r="W289" s="16"/>
      <x:c r="X289" s="16"/>
      <x:c r="Y289" s="16"/>
      <x:c r="Z289" s="16"/>
      <x:c r="AA289" s="16"/>
      <x:c r="AB289" s="16"/>
      <x:c r="AC289" s="16"/>
      <x:c r="AD289" s="16"/>
    </x:row>
    <x:row r="290">
      <x:c r="A290" s="24"/>
      <x:c r="B290" s="24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16"/>
      <x:c r="V290" s="16"/>
      <x:c r="W290" s="16"/>
      <x:c r="X290" s="16"/>
      <x:c r="Y290" s="16"/>
      <x:c r="Z290" s="16"/>
      <x:c r="AA290" s="16"/>
      <x:c r="AB290" s="16"/>
      <x:c r="AC290" s="16"/>
      <x:c r="AD290" s="16"/>
    </x:row>
    <x:row r="291">
      <x:c r="A291" s="24"/>
      <x:c r="B291" s="24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16"/>
      <x:c r="V291" s="16"/>
      <x:c r="W291" s="16"/>
      <x:c r="X291" s="16"/>
      <x:c r="Y291" s="16"/>
      <x:c r="Z291" s="16"/>
      <x:c r="AA291" s="16"/>
      <x:c r="AB291" s="16"/>
      <x:c r="AC291" s="16"/>
      <x:c r="AD291" s="16"/>
    </x:row>
    <x:row r="292">
      <x:c r="A292" s="24"/>
      <x:c r="B292" s="24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16"/>
      <x:c r="V292" s="16"/>
      <x:c r="W292" s="16"/>
      <x:c r="X292" s="16"/>
      <x:c r="Y292" s="16"/>
      <x:c r="Z292" s="16"/>
      <x:c r="AA292" s="16"/>
      <x:c r="AB292" s="16"/>
      <x:c r="AC292" s="16"/>
      <x:c r="AD292" s="16"/>
    </x:row>
    <x:row r="293">
      <x:c r="A293" s="24"/>
      <x:c r="B293" s="24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16"/>
      <x:c r="V293" s="16"/>
      <x:c r="W293" s="16"/>
      <x:c r="X293" s="16"/>
      <x:c r="Y293" s="16"/>
      <x:c r="Z293" s="16"/>
      <x:c r="AA293" s="16"/>
      <x:c r="AB293" s="16"/>
      <x:c r="AC293" s="16"/>
      <x:c r="AD293" s="16"/>
    </x:row>
    <x:row r="294">
      <x:c r="A294" s="24"/>
      <x:c r="B294" s="24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16"/>
      <x:c r="V294" s="16"/>
      <x:c r="W294" s="16"/>
      <x:c r="X294" s="16"/>
      <x:c r="Y294" s="16"/>
      <x:c r="Z294" s="16"/>
      <x:c r="AA294" s="16"/>
      <x:c r="AB294" s="16"/>
      <x:c r="AC294" s="16"/>
      <x:c r="AD294" s="16"/>
    </x:row>
    <x:row r="295">
      <x:c r="A295" s="24"/>
      <x:c r="B295" s="24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16"/>
      <x:c r="V295" s="16"/>
      <x:c r="W295" s="16"/>
      <x:c r="X295" s="16"/>
      <x:c r="Y295" s="16"/>
      <x:c r="Z295" s="16"/>
      <x:c r="AA295" s="16"/>
      <x:c r="AB295" s="16"/>
      <x:c r="AC295" s="16"/>
      <x:c r="AD295" s="16"/>
    </x:row>
    <x:row r="296">
      <x:c r="A296" s="24"/>
      <x:c r="B296" s="24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16"/>
      <x:c r="V296" s="16"/>
      <x:c r="W296" s="16"/>
      <x:c r="X296" s="16"/>
      <x:c r="Y296" s="16"/>
      <x:c r="Z296" s="16"/>
      <x:c r="AA296" s="16"/>
      <x:c r="AB296" s="16"/>
      <x:c r="AC296" s="16"/>
      <x:c r="AD296" s="16"/>
    </x:row>
    <x:row r="297">
      <x:c r="A297" s="24"/>
      <x:c r="B297" s="24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16"/>
      <x:c r="V297" s="16"/>
      <x:c r="W297" s="16"/>
      <x:c r="X297" s="16"/>
      <x:c r="Y297" s="16"/>
      <x:c r="Z297" s="16"/>
      <x:c r="AA297" s="16"/>
      <x:c r="AB297" s="16"/>
      <x:c r="AC297" s="16"/>
      <x:c r="AD297" s="16"/>
    </x:row>
    <x:row r="298">
      <x:c r="A298" s="24"/>
      <x:c r="B298" s="24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16"/>
      <x:c r="V298" s="16"/>
      <x:c r="W298" s="16"/>
      <x:c r="X298" s="16"/>
      <x:c r="Y298" s="16"/>
      <x:c r="Z298" s="16"/>
      <x:c r="AA298" s="16"/>
      <x:c r="AB298" s="16"/>
      <x:c r="AC298" s="16"/>
      <x:c r="AD298" s="16"/>
    </x:row>
    <x:row r="299">
      <x:c r="A299" s="24"/>
      <x:c r="B299" s="24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16"/>
      <x:c r="V299" s="16"/>
      <x:c r="W299" s="16"/>
      <x:c r="X299" s="16"/>
      <x:c r="Y299" s="16"/>
      <x:c r="Z299" s="16"/>
      <x:c r="AA299" s="16"/>
      <x:c r="AB299" s="16"/>
      <x:c r="AC299" s="16"/>
      <x:c r="AD299" s="16"/>
    </x:row>
    <x:row r="300">
      <x:c r="A300" s="24"/>
      <x:c r="B300" s="24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16"/>
      <x:c r="V300" s="16"/>
      <x:c r="W300" s="16"/>
      <x:c r="X300" s="16"/>
      <x:c r="Y300" s="16"/>
      <x:c r="Z300" s="16"/>
      <x:c r="AA300" s="16"/>
      <x:c r="AB300" s="16"/>
      <x:c r="AC300" s="16"/>
      <x:c r="AD300" s="16"/>
    </x:row>
    <x:row r="301">
      <x:c r="A301" s="24"/>
      <x:c r="B301" s="24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16"/>
      <x:c r="V301" s="16"/>
      <x:c r="W301" s="16"/>
      <x:c r="X301" s="16"/>
      <x:c r="Y301" s="16"/>
      <x:c r="Z301" s="16"/>
      <x:c r="AA301" s="16"/>
      <x:c r="AB301" s="16"/>
      <x:c r="AC301" s="16"/>
      <x:c r="AD301" s="16"/>
    </x:row>
    <x:row r="302">
      <x:c r="A302" s="24"/>
      <x:c r="B302" s="24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16"/>
      <x:c r="V302" s="16"/>
      <x:c r="W302" s="16"/>
      <x:c r="X302" s="16"/>
      <x:c r="Y302" s="16"/>
      <x:c r="Z302" s="16"/>
      <x:c r="AA302" s="16"/>
      <x:c r="AB302" s="16"/>
      <x:c r="AC302" s="16"/>
      <x:c r="AD302" s="16"/>
    </x:row>
    <x:row r="303">
      <x:c r="A303" s="24"/>
      <x:c r="B303" s="24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16"/>
      <x:c r="V303" s="16"/>
      <x:c r="W303" s="16"/>
      <x:c r="X303" s="16"/>
      <x:c r="Y303" s="16"/>
      <x:c r="Z303" s="16"/>
      <x:c r="AA303" s="16"/>
      <x:c r="AB303" s="16"/>
      <x:c r="AC303" s="16"/>
      <x:c r="AD303" s="16"/>
    </x:row>
    <x:row r="304">
      <x:c r="A304" s="24"/>
      <x:c r="B304" s="24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16"/>
      <x:c r="V304" s="16"/>
      <x:c r="W304" s="16"/>
      <x:c r="X304" s="16"/>
      <x:c r="Y304" s="16"/>
      <x:c r="Z304" s="16"/>
      <x:c r="AA304" s="16"/>
      <x:c r="AB304" s="16"/>
      <x:c r="AC304" s="16"/>
      <x:c r="AD304" s="16"/>
    </x:row>
    <x:row r="305">
      <x:c r="A305" s="24"/>
      <x:c r="B305" s="24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16"/>
      <x:c r="V305" s="16"/>
      <x:c r="W305" s="16"/>
      <x:c r="X305" s="16"/>
      <x:c r="Y305" s="16"/>
      <x:c r="Z305" s="16"/>
      <x:c r="AA305" s="16"/>
      <x:c r="AB305" s="16"/>
      <x:c r="AC305" s="16"/>
      <x:c r="AD305" s="16"/>
    </x:row>
    <x:row r="306">
      <x:c r="A306" s="24"/>
      <x:c r="B306" s="24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16"/>
      <x:c r="V306" s="16"/>
      <x:c r="W306" s="16"/>
      <x:c r="X306" s="16"/>
      <x:c r="Y306" s="16"/>
      <x:c r="Z306" s="16"/>
      <x:c r="AA306" s="16"/>
      <x:c r="AB306" s="16"/>
      <x:c r="AC306" s="16"/>
      <x:c r="AD306" s="16"/>
    </x:row>
    <x:row r="307">
      <x:c r="A307" s="24"/>
      <x:c r="B307" s="24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16"/>
      <x:c r="V307" s="16"/>
      <x:c r="W307" s="16"/>
      <x:c r="X307" s="16"/>
      <x:c r="Y307" s="16"/>
      <x:c r="Z307" s="16"/>
      <x:c r="AA307" s="16"/>
      <x:c r="AB307" s="16"/>
      <x:c r="AC307" s="16"/>
      <x:c r="AD307" s="16"/>
    </x:row>
    <x:row r="308">
      <x:c r="A308" s="24"/>
      <x:c r="B308" s="24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16"/>
      <x:c r="V308" s="16"/>
      <x:c r="W308" s="16"/>
      <x:c r="X308" s="16"/>
      <x:c r="Y308" s="16"/>
      <x:c r="Z308" s="16"/>
      <x:c r="AA308" s="16"/>
      <x:c r="AB308" s="16"/>
      <x:c r="AC308" s="16"/>
      <x:c r="AD308" s="16"/>
    </x:row>
    <x:row r="309">
      <x:c r="A309" s="24"/>
      <x:c r="B309" s="24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16"/>
      <x:c r="V309" s="16"/>
      <x:c r="W309" s="16"/>
      <x:c r="X309" s="16"/>
      <x:c r="Y309" s="16"/>
      <x:c r="Z309" s="16"/>
      <x:c r="AA309" s="16"/>
      <x:c r="AB309" s="16"/>
      <x:c r="AC309" s="16"/>
      <x:c r="AD309" s="16"/>
    </x:row>
    <x:row r="310">
      <x:c r="A310" s="24"/>
      <x:c r="B310" s="24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16"/>
      <x:c r="V310" s="16"/>
      <x:c r="W310" s="16"/>
      <x:c r="X310" s="16"/>
      <x:c r="Y310" s="16"/>
      <x:c r="Z310" s="16"/>
      <x:c r="AA310" s="16"/>
      <x:c r="AB310" s="16"/>
      <x:c r="AC310" s="16"/>
      <x:c r="AD310" s="16"/>
    </x:row>
    <x:row r="311">
      <x:c r="A311" s="24"/>
      <x:c r="B311" s="24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16"/>
      <x:c r="V311" s="16"/>
      <x:c r="W311" s="16"/>
      <x:c r="X311" s="16"/>
      <x:c r="Y311" s="16"/>
      <x:c r="Z311" s="16"/>
      <x:c r="AA311" s="16"/>
      <x:c r="AB311" s="16"/>
      <x:c r="AC311" s="16"/>
      <x:c r="AD311" s="16"/>
    </x:row>
    <x:row r="312">
      <x:c r="A312" s="24"/>
      <x:c r="B312" s="24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16"/>
      <x:c r="V312" s="16"/>
      <x:c r="W312" s="16"/>
      <x:c r="X312" s="16"/>
      <x:c r="Y312" s="16"/>
      <x:c r="Z312" s="16"/>
      <x:c r="AA312" s="16"/>
      <x:c r="AB312" s="16"/>
      <x:c r="AC312" s="16"/>
      <x:c r="AD312" s="16"/>
    </x:row>
    <x:row r="313">
      <x:c r="A313" s="24"/>
      <x:c r="B313" s="24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16"/>
      <x:c r="V313" s="16"/>
      <x:c r="W313" s="16"/>
      <x:c r="X313" s="16"/>
      <x:c r="Y313" s="16"/>
      <x:c r="Z313" s="16"/>
      <x:c r="AA313" s="16"/>
      <x:c r="AB313" s="16"/>
      <x:c r="AC313" s="16"/>
      <x:c r="AD313" s="16"/>
    </x:row>
    <x:row r="314">
      <x:c r="A314" s="24"/>
      <x:c r="B314" s="24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16"/>
      <x:c r="V314" s="16"/>
      <x:c r="W314" s="16"/>
      <x:c r="X314" s="16"/>
      <x:c r="Y314" s="16"/>
      <x:c r="Z314" s="16"/>
      <x:c r="AA314" s="16"/>
      <x:c r="AB314" s="16"/>
      <x:c r="AC314" s="16"/>
      <x:c r="AD314" s="16"/>
    </x:row>
    <x:row r="315">
      <x:c r="A315" s="24"/>
      <x:c r="B315" s="24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16"/>
      <x:c r="V315" s="16"/>
      <x:c r="W315" s="16"/>
      <x:c r="X315" s="16"/>
      <x:c r="Y315" s="16"/>
      <x:c r="Z315" s="16"/>
      <x:c r="AA315" s="16"/>
      <x:c r="AB315" s="16"/>
      <x:c r="AC315" s="16"/>
      <x:c r="AD315" s="16"/>
    </x:row>
    <x:row r="316">
      <x:c r="A316" s="24"/>
      <x:c r="B316" s="24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16"/>
      <x:c r="V316" s="16"/>
      <x:c r="W316" s="16"/>
      <x:c r="X316" s="16"/>
      <x:c r="Y316" s="16"/>
      <x:c r="Z316" s="16"/>
      <x:c r="AA316" s="16"/>
      <x:c r="AB316" s="16"/>
      <x:c r="AC316" s="16"/>
      <x:c r="AD316" s="16"/>
    </x:row>
    <x:row r="317">
      <x:c r="A317" s="24"/>
      <x:c r="B317" s="24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16"/>
      <x:c r="V317" s="16"/>
      <x:c r="W317" s="16"/>
      <x:c r="X317" s="16"/>
      <x:c r="Y317" s="16"/>
      <x:c r="Z317" s="16"/>
      <x:c r="AA317" s="16"/>
      <x:c r="AB317" s="16"/>
      <x:c r="AC317" s="16"/>
      <x:c r="AD317" s="16"/>
    </x:row>
    <x:row r="318">
      <x:c r="A318" s="24"/>
      <x:c r="B318" s="24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16"/>
      <x:c r="V318" s="16"/>
      <x:c r="W318" s="16"/>
      <x:c r="X318" s="16"/>
      <x:c r="Y318" s="16"/>
      <x:c r="Z318" s="16"/>
      <x:c r="AA318" s="16"/>
      <x:c r="AB318" s="16"/>
      <x:c r="AC318" s="16"/>
      <x:c r="AD318" s="16"/>
    </x:row>
    <x:row r="319">
      <x:c r="A319" s="24"/>
      <x:c r="B319" s="24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16"/>
      <x:c r="V319" s="16"/>
      <x:c r="W319" s="16"/>
      <x:c r="X319" s="16"/>
      <x:c r="Y319" s="16"/>
      <x:c r="Z319" s="16"/>
      <x:c r="AA319" s="16"/>
      <x:c r="AB319" s="16"/>
      <x:c r="AC319" s="16"/>
      <x:c r="AD319" s="16"/>
    </x:row>
    <x:row r="320">
      <x:c r="A320" s="24"/>
      <x:c r="B320" s="24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16"/>
      <x:c r="V320" s="16"/>
      <x:c r="W320" s="16"/>
      <x:c r="X320" s="16"/>
      <x:c r="Y320" s="16"/>
      <x:c r="Z320" s="16"/>
      <x:c r="AA320" s="16"/>
      <x:c r="AB320" s="16"/>
      <x:c r="AC320" s="16"/>
      <x:c r="AD320" s="16"/>
    </x:row>
    <x:row r="321">
      <x:c r="A321" s="24"/>
      <x:c r="B321" s="24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16"/>
      <x:c r="V321" s="16"/>
      <x:c r="W321" s="16"/>
      <x:c r="X321" s="16"/>
      <x:c r="Y321" s="16"/>
      <x:c r="Z321" s="16"/>
      <x:c r="AA321" s="16"/>
      <x:c r="AB321" s="16"/>
      <x:c r="AC321" s="16"/>
      <x:c r="AD321" s="16"/>
    </x:row>
    <x:row r="322">
      <x:c r="A322" s="24"/>
      <x:c r="B322" s="24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16"/>
      <x:c r="V322" s="16"/>
      <x:c r="W322" s="16"/>
      <x:c r="X322" s="16"/>
      <x:c r="Y322" s="16"/>
      <x:c r="Z322" s="16"/>
      <x:c r="AA322" s="16"/>
      <x:c r="AB322" s="16"/>
      <x:c r="AC322" s="16"/>
      <x:c r="AD322" s="16"/>
    </x:row>
    <x:row r="323">
      <x:c r="A323" s="24"/>
      <x:c r="B323" s="24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16"/>
      <x:c r="V323" s="16"/>
      <x:c r="W323" s="16"/>
      <x:c r="X323" s="16"/>
      <x:c r="Y323" s="16"/>
      <x:c r="Z323" s="16"/>
      <x:c r="AA323" s="16"/>
      <x:c r="AB323" s="16"/>
      <x:c r="AC323" s="16"/>
      <x:c r="AD323" s="16"/>
    </x:row>
    <x:row r="324">
      <x:c r="A324" s="24"/>
      <x:c r="B324" s="24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16"/>
      <x:c r="V324" s="16"/>
      <x:c r="W324" s="16"/>
      <x:c r="X324" s="16"/>
      <x:c r="Y324" s="16"/>
      <x:c r="Z324" s="16"/>
      <x:c r="AA324" s="16"/>
      <x:c r="AB324" s="16"/>
      <x:c r="AC324" s="16"/>
      <x:c r="AD324" s="16"/>
    </x:row>
    <x:row r="325">
      <x:c r="A325" s="24"/>
      <x:c r="B325" s="24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16"/>
      <x:c r="V325" s="16"/>
      <x:c r="W325" s="16"/>
      <x:c r="X325" s="16"/>
      <x:c r="Y325" s="16"/>
      <x:c r="Z325" s="16"/>
      <x:c r="AA325" s="16"/>
      <x:c r="AB325" s="16"/>
      <x:c r="AC325" s="16"/>
      <x:c r="AD325" s="16"/>
    </x:row>
    <x:row r="326">
      <x:c r="A326" s="24"/>
      <x:c r="B326" s="24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16"/>
      <x:c r="V326" s="16"/>
      <x:c r="W326" s="16"/>
      <x:c r="X326" s="16"/>
      <x:c r="Y326" s="16"/>
      <x:c r="Z326" s="16"/>
      <x:c r="AA326" s="16"/>
      <x:c r="AB326" s="16"/>
      <x:c r="AC326" s="16"/>
      <x:c r="AD326" s="16"/>
    </x:row>
    <x:row r="327">
      <x:c r="A327" s="24"/>
      <x:c r="B327" s="24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16"/>
      <x:c r="V327" s="16"/>
      <x:c r="W327" s="16"/>
      <x:c r="X327" s="16"/>
      <x:c r="Y327" s="16"/>
      <x:c r="Z327" s="16"/>
      <x:c r="AA327" s="16"/>
      <x:c r="AB327" s="16"/>
      <x:c r="AC327" s="16"/>
      <x:c r="AD327" s="16"/>
    </x:row>
    <x:row r="328">
      <x:c r="A328" s="24"/>
      <x:c r="B328" s="24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16"/>
      <x:c r="V328" s="16"/>
      <x:c r="W328" s="16"/>
      <x:c r="X328" s="16"/>
      <x:c r="Y328" s="16"/>
      <x:c r="Z328" s="16"/>
      <x:c r="AA328" s="16"/>
      <x:c r="AB328" s="16"/>
      <x:c r="AC328" s="16"/>
      <x:c r="AD328" s="16"/>
    </x:row>
    <x:row r="329">
      <x:c r="A329" s="24"/>
      <x:c r="B329" s="24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16"/>
      <x:c r="V329" s="16"/>
      <x:c r="W329" s="16"/>
      <x:c r="X329" s="16"/>
      <x:c r="Y329" s="16"/>
      <x:c r="Z329" s="16"/>
      <x:c r="AA329" s="16"/>
      <x:c r="AB329" s="16"/>
      <x:c r="AC329" s="16"/>
      <x:c r="AD329" s="16"/>
    </x:row>
    <x:row r="330">
      <x:c r="A330" s="24"/>
      <x:c r="B330" s="24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16"/>
      <x:c r="V330" s="16"/>
      <x:c r="W330" s="16"/>
      <x:c r="X330" s="16"/>
      <x:c r="Y330" s="16"/>
      <x:c r="Z330" s="16"/>
      <x:c r="AA330" s="16"/>
      <x:c r="AB330" s="16"/>
      <x:c r="AC330" s="16"/>
      <x:c r="AD330" s="16"/>
    </x:row>
    <x:row r="331">
      <x:c r="A331" s="24"/>
      <x:c r="B331" s="24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16"/>
      <x:c r="V331" s="16"/>
      <x:c r="W331" s="16"/>
      <x:c r="X331" s="16"/>
      <x:c r="Y331" s="16"/>
      <x:c r="Z331" s="16"/>
      <x:c r="AA331" s="16"/>
      <x:c r="AB331" s="16"/>
      <x:c r="AC331" s="16"/>
      <x:c r="AD331" s="16"/>
    </x:row>
    <x:row r="332">
      <x:c r="A332" s="24"/>
      <x:c r="B332" s="24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16"/>
      <x:c r="V332" s="16"/>
      <x:c r="W332" s="16"/>
      <x:c r="X332" s="16"/>
      <x:c r="Y332" s="16"/>
      <x:c r="Z332" s="16"/>
      <x:c r="AA332" s="16"/>
      <x:c r="AB332" s="16"/>
      <x:c r="AC332" s="16"/>
      <x:c r="AD332" s="16"/>
    </x:row>
    <x:row r="333">
      <x:c r="A333" s="24"/>
      <x:c r="B333" s="24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16"/>
      <x:c r="V333" s="16"/>
      <x:c r="W333" s="16"/>
      <x:c r="X333" s="16"/>
      <x:c r="Y333" s="16"/>
      <x:c r="Z333" s="16"/>
      <x:c r="AA333" s="16"/>
      <x:c r="AB333" s="16"/>
      <x:c r="AC333" s="16"/>
      <x:c r="AD333" s="16"/>
    </x:row>
    <x:row r="334">
      <x:c r="A334" s="24"/>
      <x:c r="B334" s="24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16"/>
      <x:c r="V334" s="16"/>
      <x:c r="W334" s="16"/>
      <x:c r="X334" s="16"/>
      <x:c r="Y334" s="16"/>
      <x:c r="Z334" s="16"/>
      <x:c r="AA334" s="16"/>
      <x:c r="AB334" s="16"/>
      <x:c r="AC334" s="16"/>
      <x:c r="AD334" s="16"/>
    </x:row>
    <x:row r="335">
      <x:c r="A335" s="24"/>
      <x:c r="B335" s="24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16"/>
      <x:c r="V335" s="16"/>
      <x:c r="W335" s="16"/>
      <x:c r="X335" s="16"/>
      <x:c r="Y335" s="16"/>
      <x:c r="Z335" s="16"/>
      <x:c r="AA335" s="16"/>
      <x:c r="AB335" s="16"/>
      <x:c r="AC335" s="16"/>
      <x:c r="AD335" s="16"/>
    </x:row>
    <x:row r="336">
      <x:c r="A336" s="24"/>
      <x:c r="B336" s="24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16"/>
      <x:c r="V336" s="16"/>
      <x:c r="W336" s="16"/>
      <x:c r="X336" s="16"/>
      <x:c r="Y336" s="16"/>
      <x:c r="Z336" s="16"/>
      <x:c r="AA336" s="16"/>
      <x:c r="AB336" s="16"/>
      <x:c r="AC336" s="16"/>
      <x:c r="AD336" s="16"/>
    </x:row>
    <x:row r="337">
      <x:c r="A337" s="24"/>
      <x:c r="B337" s="24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16"/>
      <x:c r="V337" s="16"/>
      <x:c r="W337" s="16"/>
      <x:c r="X337" s="16"/>
      <x:c r="Y337" s="16"/>
      <x:c r="Z337" s="16"/>
      <x:c r="AA337" s="16"/>
      <x:c r="AB337" s="16"/>
      <x:c r="AC337" s="16"/>
      <x:c r="AD337" s="16"/>
    </x:row>
    <x:row r="338">
      <x:c r="A338" s="24"/>
      <x:c r="B338" s="24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16"/>
      <x:c r="V338" s="16"/>
      <x:c r="W338" s="16"/>
      <x:c r="X338" s="16"/>
      <x:c r="Y338" s="16"/>
      <x:c r="Z338" s="16"/>
      <x:c r="AA338" s="16"/>
      <x:c r="AB338" s="16"/>
      <x:c r="AC338" s="16"/>
      <x:c r="AD338" s="16"/>
    </x:row>
    <x:row r="339">
      <x:c r="A339" s="24"/>
      <x:c r="B339" s="24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16"/>
      <x:c r="V339" s="16"/>
      <x:c r="W339" s="16"/>
      <x:c r="X339" s="16"/>
      <x:c r="Y339" s="16"/>
      <x:c r="Z339" s="16"/>
      <x:c r="AA339" s="16"/>
      <x:c r="AB339" s="16"/>
      <x:c r="AC339" s="16"/>
      <x:c r="AD339" s="16"/>
    </x:row>
    <x:row r="340">
      <x:c r="A340" s="24"/>
      <x:c r="B340" s="24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16"/>
      <x:c r="V340" s="16"/>
      <x:c r="W340" s="16"/>
      <x:c r="X340" s="16"/>
      <x:c r="Y340" s="16"/>
      <x:c r="Z340" s="16"/>
      <x:c r="AA340" s="16"/>
      <x:c r="AB340" s="16"/>
      <x:c r="AC340" s="16"/>
      <x:c r="AD340" s="16"/>
    </x:row>
    <x:row r="341">
      <x:c r="A341" s="24"/>
      <x:c r="B341" s="24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16"/>
      <x:c r="V341" s="16"/>
      <x:c r="W341" s="16"/>
      <x:c r="X341" s="16"/>
      <x:c r="Y341" s="16"/>
      <x:c r="Z341" s="16"/>
      <x:c r="AA341" s="16"/>
      <x:c r="AB341" s="16"/>
      <x:c r="AC341" s="16"/>
      <x:c r="AD341" s="16"/>
    </x:row>
    <x:row r="342">
      <x:c r="A342" s="24"/>
      <x:c r="B342" s="24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16"/>
      <x:c r="V342" s="16"/>
      <x:c r="W342" s="16"/>
      <x:c r="X342" s="16"/>
      <x:c r="Y342" s="16"/>
      <x:c r="Z342" s="16"/>
      <x:c r="AA342" s="16"/>
      <x:c r="AB342" s="16"/>
      <x:c r="AC342" s="16"/>
      <x:c r="AD342" s="16"/>
    </x:row>
    <x:row r="343">
      <x:c r="A343" s="24"/>
      <x:c r="B343" s="24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16"/>
      <x:c r="V343" s="16"/>
      <x:c r="W343" s="16"/>
      <x:c r="X343" s="16"/>
      <x:c r="Y343" s="16"/>
      <x:c r="Z343" s="16"/>
      <x:c r="AA343" s="16"/>
      <x:c r="AB343" s="16"/>
      <x:c r="AC343" s="16"/>
      <x:c r="AD343" s="16"/>
    </x:row>
    <x:row r="344">
      <x:c r="A344" s="24"/>
      <x:c r="B344" s="24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16"/>
      <x:c r="V344" s="16"/>
      <x:c r="W344" s="16"/>
      <x:c r="X344" s="16"/>
      <x:c r="Y344" s="16"/>
      <x:c r="Z344" s="16"/>
      <x:c r="AA344" s="16"/>
      <x:c r="AB344" s="16"/>
      <x:c r="AC344" s="16"/>
      <x:c r="AD344" s="16"/>
    </x:row>
    <x:row r="345">
      <x:c r="A345" s="24"/>
      <x:c r="B345" s="24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16"/>
      <x:c r="V345" s="16"/>
      <x:c r="W345" s="16"/>
      <x:c r="X345" s="16"/>
      <x:c r="Y345" s="16"/>
      <x:c r="Z345" s="16"/>
      <x:c r="AA345" s="16"/>
      <x:c r="AB345" s="16"/>
      <x:c r="AC345" s="16"/>
      <x:c r="AD345" s="16"/>
    </x:row>
    <x:row r="346">
      <x:c r="A346" s="24"/>
      <x:c r="B346" s="24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16"/>
      <x:c r="V346" s="16"/>
      <x:c r="W346" s="16"/>
      <x:c r="X346" s="16"/>
      <x:c r="Y346" s="16"/>
      <x:c r="Z346" s="16"/>
      <x:c r="AA346" s="16"/>
      <x:c r="AB346" s="16"/>
      <x:c r="AC346" s="16"/>
      <x:c r="AD346" s="16"/>
    </x:row>
    <x:row r="347">
      <x:c r="A347" s="24"/>
      <x:c r="B347" s="24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16"/>
      <x:c r="V347" s="16"/>
      <x:c r="W347" s="16"/>
      <x:c r="X347" s="16"/>
      <x:c r="Y347" s="16"/>
      <x:c r="Z347" s="16"/>
      <x:c r="AA347" s="16"/>
      <x:c r="AB347" s="16"/>
      <x:c r="AC347" s="16"/>
      <x:c r="AD347" s="16"/>
    </x:row>
    <x:row r="348">
      <x:c r="A348" s="24"/>
      <x:c r="B348" s="24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16"/>
      <x:c r="V348" s="16"/>
      <x:c r="W348" s="16"/>
      <x:c r="X348" s="16"/>
      <x:c r="Y348" s="16"/>
      <x:c r="Z348" s="16"/>
      <x:c r="AA348" s="16"/>
      <x:c r="AB348" s="16"/>
      <x:c r="AC348" s="16"/>
      <x:c r="AD348" s="16"/>
    </x:row>
    <x:row r="349">
      <x:c r="A349" s="24"/>
      <x:c r="B349" s="24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16"/>
      <x:c r="V349" s="16"/>
      <x:c r="W349" s="16"/>
      <x:c r="X349" s="16"/>
      <x:c r="Y349" s="16"/>
      <x:c r="Z349" s="16"/>
      <x:c r="AA349" s="16"/>
      <x:c r="AB349" s="16"/>
      <x:c r="AC349" s="16"/>
      <x:c r="AD349" s="16"/>
    </x:row>
    <x:row r="350">
      <x:c r="A350" s="24"/>
      <x:c r="B350" s="24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16"/>
      <x:c r="V350" s="16"/>
      <x:c r="W350" s="16"/>
      <x:c r="X350" s="16"/>
      <x:c r="Y350" s="16"/>
      <x:c r="Z350" s="16"/>
      <x:c r="AA350" s="16"/>
      <x:c r="AB350" s="16"/>
      <x:c r="AC350" s="16"/>
      <x:c r="AD350" s="16"/>
    </x:row>
    <x:row r="351">
      <x:c r="A351" s="24"/>
      <x:c r="B351" s="24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16"/>
      <x:c r="V351" s="16"/>
      <x:c r="W351" s="16"/>
      <x:c r="X351" s="16"/>
      <x:c r="Y351" s="16"/>
      <x:c r="Z351" s="16"/>
      <x:c r="AA351" s="16"/>
      <x:c r="AB351" s="16"/>
      <x:c r="AC351" s="16"/>
      <x:c r="AD351" s="16"/>
    </x:row>
    <x:row r="352">
      <x:c r="A352" s="24"/>
      <x:c r="B352" s="24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16"/>
      <x:c r="V352" s="16"/>
      <x:c r="W352" s="16"/>
      <x:c r="X352" s="16"/>
      <x:c r="Y352" s="16"/>
      <x:c r="Z352" s="16"/>
      <x:c r="AA352" s="16"/>
      <x:c r="AB352" s="16"/>
      <x:c r="AC352" s="16"/>
      <x:c r="AD352" s="16"/>
    </x:row>
    <x:row r="353">
      <x:c r="A353" s="24"/>
      <x:c r="B353" s="24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16"/>
      <x:c r="V353" s="16"/>
      <x:c r="W353" s="16"/>
      <x:c r="X353" s="16"/>
      <x:c r="Y353" s="16"/>
      <x:c r="Z353" s="16"/>
      <x:c r="AA353" s="16"/>
      <x:c r="AB353" s="16"/>
      <x:c r="AC353" s="16"/>
      <x:c r="AD353" s="16"/>
    </x:row>
    <x:row r="354">
      <x:c r="A354" s="24"/>
      <x:c r="B354" s="24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16"/>
      <x:c r="V354" s="16"/>
      <x:c r="W354" s="16"/>
      <x:c r="X354" s="16"/>
      <x:c r="Y354" s="16"/>
      <x:c r="Z354" s="16"/>
      <x:c r="AA354" s="16"/>
      <x:c r="AB354" s="16"/>
      <x:c r="AC354" s="16"/>
      <x:c r="AD354" s="16"/>
    </x:row>
    <x:row r="355">
      <x:c r="A355" s="24"/>
      <x:c r="B355" s="24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16"/>
      <x:c r="V355" s="16"/>
      <x:c r="W355" s="16"/>
      <x:c r="X355" s="16"/>
      <x:c r="Y355" s="16"/>
      <x:c r="Z355" s="16"/>
      <x:c r="AA355" s="16"/>
      <x:c r="AB355" s="16"/>
      <x:c r="AC355" s="16"/>
      <x:c r="AD355" s="16"/>
    </x:row>
    <x:row r="356">
      <x:c r="A356" s="24"/>
      <x:c r="B356" s="24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16"/>
      <x:c r="V356" s="16"/>
      <x:c r="W356" s="16"/>
      <x:c r="X356" s="16"/>
      <x:c r="Y356" s="16"/>
      <x:c r="Z356" s="16"/>
      <x:c r="AA356" s="16"/>
      <x:c r="AB356" s="16"/>
      <x:c r="AC356" s="16"/>
      <x:c r="AD356" s="16"/>
    </x:row>
    <x:row r="357">
      <x:c r="A357" s="24"/>
      <x:c r="B357" s="24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16"/>
      <x:c r="V357" s="16"/>
      <x:c r="W357" s="16"/>
      <x:c r="X357" s="16"/>
      <x:c r="Y357" s="16"/>
      <x:c r="Z357" s="16"/>
      <x:c r="AA357" s="16"/>
      <x:c r="AB357" s="16"/>
      <x:c r="AC357" s="16"/>
      <x:c r="AD357" s="16"/>
    </x:row>
    <x:row r="358">
      <x:c r="A358" s="24"/>
      <x:c r="B358" s="24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16"/>
      <x:c r="V358" s="16"/>
      <x:c r="W358" s="16"/>
      <x:c r="X358" s="16"/>
      <x:c r="Y358" s="16"/>
      <x:c r="Z358" s="16"/>
      <x:c r="AA358" s="16"/>
      <x:c r="AB358" s="16"/>
      <x:c r="AC358" s="16"/>
      <x:c r="AD358" s="16"/>
    </x:row>
    <x:row r="359">
      <x:c r="A359" s="24"/>
      <x:c r="B359" s="24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16"/>
      <x:c r="V359" s="16"/>
      <x:c r="W359" s="16"/>
      <x:c r="X359" s="16"/>
      <x:c r="Y359" s="16"/>
      <x:c r="Z359" s="16"/>
      <x:c r="AA359" s="16"/>
      <x:c r="AB359" s="16"/>
      <x:c r="AC359" s="16"/>
      <x:c r="AD359" s="16"/>
    </x:row>
    <x:row r="360">
      <x:c r="A360" s="24"/>
      <x:c r="B360" s="24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16"/>
      <x:c r="V360" s="16"/>
      <x:c r="W360" s="16"/>
      <x:c r="X360" s="16"/>
      <x:c r="Y360" s="16"/>
      <x:c r="Z360" s="16"/>
      <x:c r="AA360" s="16"/>
      <x:c r="AB360" s="16"/>
      <x:c r="AC360" s="16"/>
      <x:c r="AD360" s="16"/>
    </x:row>
    <x:row r="361">
      <x:c r="A361" s="24"/>
      <x:c r="B361" s="24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16"/>
      <x:c r="V361" s="16"/>
      <x:c r="W361" s="16"/>
      <x:c r="X361" s="16"/>
      <x:c r="Y361" s="16"/>
      <x:c r="Z361" s="16"/>
      <x:c r="AA361" s="16"/>
      <x:c r="AB361" s="16"/>
      <x:c r="AC361" s="16"/>
      <x:c r="AD361" s="16"/>
    </x:row>
    <x:row r="362">
      <x:c r="A362" s="24"/>
      <x:c r="B362" s="24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16"/>
      <x:c r="V362" s="16"/>
      <x:c r="W362" s="16"/>
      <x:c r="X362" s="16"/>
      <x:c r="Y362" s="16"/>
      <x:c r="Z362" s="16"/>
      <x:c r="AA362" s="16"/>
      <x:c r="AB362" s="16"/>
      <x:c r="AC362" s="16"/>
      <x:c r="AD362" s="16"/>
    </x:row>
    <x:row r="363">
      <x:c r="A363" s="24"/>
      <x:c r="B363" s="24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16"/>
      <x:c r="V363" s="16"/>
      <x:c r="W363" s="16"/>
      <x:c r="X363" s="16"/>
      <x:c r="Y363" s="16"/>
      <x:c r="Z363" s="16"/>
      <x:c r="AA363" s="16"/>
      <x:c r="AB363" s="16"/>
      <x:c r="AC363" s="16"/>
      <x:c r="AD363" s="16"/>
    </x:row>
    <x:row r="364">
      <x:c r="A364" s="24"/>
      <x:c r="B364" s="24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16"/>
      <x:c r="V364" s="16"/>
      <x:c r="W364" s="16"/>
      <x:c r="X364" s="16"/>
      <x:c r="Y364" s="16"/>
      <x:c r="Z364" s="16"/>
      <x:c r="AA364" s="16"/>
      <x:c r="AB364" s="16"/>
      <x:c r="AC364" s="16"/>
      <x:c r="AD364" s="16"/>
    </x:row>
    <x:row r="365">
      <x:c r="A365" s="24"/>
      <x:c r="B365" s="24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16"/>
      <x:c r="V365" s="16"/>
      <x:c r="W365" s="16"/>
      <x:c r="X365" s="16"/>
      <x:c r="Y365" s="16"/>
      <x:c r="Z365" s="16"/>
      <x:c r="AA365" s="16"/>
      <x:c r="AB365" s="16"/>
      <x:c r="AC365" s="16"/>
      <x:c r="AD365" s="16"/>
    </x:row>
    <x:row r="366">
      <x:c r="A366" s="24"/>
      <x:c r="B366" s="24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16"/>
      <x:c r="V366" s="16"/>
      <x:c r="W366" s="16"/>
      <x:c r="X366" s="16"/>
      <x:c r="Y366" s="16"/>
      <x:c r="Z366" s="16"/>
      <x:c r="AA366" s="16"/>
      <x:c r="AB366" s="16"/>
      <x:c r="AC366" s="16"/>
      <x:c r="AD366" s="16"/>
    </x:row>
    <x:row r="367">
      <x:c r="A367" s="24"/>
      <x:c r="B367" s="24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16"/>
      <x:c r="V367" s="16"/>
      <x:c r="W367" s="16"/>
      <x:c r="X367" s="16"/>
      <x:c r="Y367" s="16"/>
      <x:c r="Z367" s="16"/>
      <x:c r="AA367" s="16"/>
      <x:c r="AB367" s="16"/>
      <x:c r="AC367" s="16"/>
      <x:c r="AD367" s="16"/>
    </x:row>
    <x:row r="368">
      <x:c r="A368" s="24"/>
      <x:c r="B368" s="24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16"/>
      <x:c r="V368" s="16"/>
      <x:c r="W368" s="16"/>
      <x:c r="X368" s="16"/>
      <x:c r="Y368" s="16"/>
      <x:c r="Z368" s="16"/>
      <x:c r="AA368" s="16"/>
      <x:c r="AB368" s="16"/>
      <x:c r="AC368" s="16"/>
      <x:c r="AD368" s="16"/>
    </x:row>
    <x:row r="369">
      <x:c r="A369" s="24"/>
      <x:c r="B369" s="24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16"/>
      <x:c r="V369" s="16"/>
      <x:c r="W369" s="16"/>
      <x:c r="X369" s="16"/>
      <x:c r="Y369" s="16"/>
      <x:c r="Z369" s="16"/>
      <x:c r="AA369" s="16"/>
      <x:c r="AB369" s="16"/>
      <x:c r="AC369" s="16"/>
      <x:c r="AD369" s="16"/>
    </x:row>
    <x:row r="370">
      <x:c r="A370" s="24"/>
      <x:c r="B370" s="24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16"/>
      <x:c r="V370" s="16"/>
      <x:c r="W370" s="16"/>
      <x:c r="X370" s="16"/>
      <x:c r="Y370" s="16"/>
      <x:c r="Z370" s="16"/>
      <x:c r="AA370" s="16"/>
      <x:c r="AB370" s="16"/>
      <x:c r="AC370" s="16"/>
      <x:c r="AD370" s="16"/>
    </x:row>
    <x:row r="371">
      <x:c r="A371" s="24"/>
      <x:c r="B371" s="24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16"/>
      <x:c r="V371" s="16"/>
      <x:c r="W371" s="16"/>
      <x:c r="X371" s="16"/>
      <x:c r="Y371" s="16"/>
      <x:c r="Z371" s="16"/>
      <x:c r="AA371" s="16"/>
      <x:c r="AB371" s="16"/>
      <x:c r="AC371" s="16"/>
      <x:c r="AD371" s="16"/>
    </x:row>
    <x:row r="372">
      <x:c r="A372" s="24"/>
      <x:c r="B372" s="24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16"/>
      <x:c r="V372" s="16"/>
      <x:c r="W372" s="16"/>
      <x:c r="X372" s="16"/>
      <x:c r="Y372" s="16"/>
      <x:c r="Z372" s="16"/>
      <x:c r="AA372" s="16"/>
      <x:c r="AB372" s="16"/>
      <x:c r="AC372" s="16"/>
      <x:c r="AD372" s="16"/>
    </x:row>
    <x:row r="373">
      <x:c r="A373" s="24"/>
      <x:c r="B373" s="24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16"/>
      <x:c r="V373" s="16"/>
      <x:c r="W373" s="16"/>
      <x:c r="X373" s="16"/>
      <x:c r="Y373" s="16"/>
      <x:c r="Z373" s="16"/>
      <x:c r="AA373" s="16"/>
      <x:c r="AB373" s="16"/>
      <x:c r="AC373" s="16"/>
      <x:c r="AD373" s="16"/>
    </x:row>
    <x:row r="374">
      <x:c r="A374" s="24"/>
      <x:c r="B374" s="24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16"/>
      <x:c r="V374" s="16"/>
      <x:c r="W374" s="16"/>
      <x:c r="X374" s="16"/>
      <x:c r="Y374" s="16"/>
      <x:c r="Z374" s="16"/>
      <x:c r="AA374" s="16"/>
      <x:c r="AB374" s="16"/>
      <x:c r="AC374" s="16"/>
      <x:c r="AD374" s="16"/>
    </x:row>
    <x:row r="375">
      <x:c r="A375" s="24"/>
      <x:c r="B375" s="24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16"/>
      <x:c r="V375" s="16"/>
      <x:c r="W375" s="16"/>
      <x:c r="X375" s="16"/>
      <x:c r="Y375" s="16"/>
      <x:c r="Z375" s="16"/>
      <x:c r="AA375" s="16"/>
      <x:c r="AB375" s="16"/>
      <x:c r="AC375" s="16"/>
      <x:c r="AD375" s="16"/>
    </x:row>
    <x:row r="376">
      <x:c r="A376" s="24"/>
      <x:c r="B376" s="24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16"/>
      <x:c r="V376" s="16"/>
      <x:c r="W376" s="16"/>
      <x:c r="X376" s="16"/>
      <x:c r="Y376" s="16"/>
      <x:c r="Z376" s="16"/>
      <x:c r="AA376" s="16"/>
      <x:c r="AB376" s="16"/>
      <x:c r="AC376" s="16"/>
      <x:c r="AD376" s="16"/>
    </x:row>
    <x:row r="377">
      <x:c r="A377" s="24"/>
      <x:c r="B377" s="24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16"/>
      <x:c r="V377" s="16"/>
      <x:c r="W377" s="16"/>
      <x:c r="X377" s="16"/>
      <x:c r="Y377" s="16"/>
      <x:c r="Z377" s="16"/>
      <x:c r="AA377" s="16"/>
      <x:c r="AB377" s="16"/>
      <x:c r="AC377" s="16"/>
      <x:c r="AD377" s="16"/>
    </x:row>
    <x:row r="378">
      <x:c r="A378" s="24"/>
      <x:c r="B378" s="24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16"/>
      <x:c r="V378" s="16"/>
      <x:c r="W378" s="16"/>
      <x:c r="X378" s="16"/>
      <x:c r="Y378" s="16"/>
      <x:c r="Z378" s="16"/>
      <x:c r="AA378" s="16"/>
      <x:c r="AB378" s="16"/>
      <x:c r="AC378" s="16"/>
      <x:c r="AD378" s="16"/>
    </x:row>
    <x:row r="379">
      <x:c r="A379" s="24"/>
      <x:c r="B379" s="24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16"/>
      <x:c r="V379" s="16"/>
      <x:c r="W379" s="16"/>
      <x:c r="X379" s="16"/>
      <x:c r="Y379" s="16"/>
      <x:c r="Z379" s="16"/>
      <x:c r="AA379" s="16"/>
      <x:c r="AB379" s="16"/>
      <x:c r="AC379" s="16"/>
      <x:c r="AD379" s="16"/>
    </x:row>
    <x:row r="380">
      <x:c r="A380" s="24"/>
      <x:c r="B380" s="24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16"/>
      <x:c r="V380" s="16"/>
      <x:c r="W380" s="16"/>
      <x:c r="X380" s="16"/>
      <x:c r="Y380" s="16"/>
      <x:c r="Z380" s="16"/>
      <x:c r="AA380" s="16"/>
      <x:c r="AB380" s="16"/>
      <x:c r="AC380" s="16"/>
      <x:c r="AD380" s="16"/>
    </x:row>
    <x:row r="381">
      <x:c r="A381" s="24"/>
      <x:c r="B381" s="24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16"/>
      <x:c r="V381" s="16"/>
      <x:c r="W381" s="16"/>
      <x:c r="X381" s="16"/>
      <x:c r="Y381" s="16"/>
      <x:c r="Z381" s="16"/>
      <x:c r="AA381" s="16"/>
      <x:c r="AB381" s="16"/>
      <x:c r="AC381" s="16"/>
      <x:c r="AD381" s="16"/>
    </x:row>
    <x:row r="382">
      <x:c r="A382" s="24"/>
      <x:c r="B382" s="24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16"/>
      <x:c r="V382" s="16"/>
      <x:c r="W382" s="16"/>
      <x:c r="X382" s="16"/>
      <x:c r="Y382" s="16"/>
      <x:c r="Z382" s="16"/>
      <x:c r="AA382" s="16"/>
      <x:c r="AB382" s="16"/>
      <x:c r="AC382" s="16"/>
      <x:c r="AD382" s="16"/>
    </x:row>
    <x:row r="383">
      <x:c r="A383" s="24"/>
      <x:c r="B383" s="24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16"/>
      <x:c r="V383" s="16"/>
      <x:c r="W383" s="16"/>
      <x:c r="X383" s="16"/>
      <x:c r="Y383" s="16"/>
      <x:c r="Z383" s="16"/>
      <x:c r="AA383" s="16"/>
      <x:c r="AB383" s="16"/>
      <x:c r="AC383" s="16"/>
      <x:c r="AD383" s="16"/>
    </x:row>
    <x:row r="384">
      <x:c r="A384" s="24"/>
      <x:c r="B384" s="24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16"/>
      <x:c r="V384" s="16"/>
      <x:c r="W384" s="16"/>
      <x:c r="X384" s="16"/>
      <x:c r="Y384" s="16"/>
      <x:c r="Z384" s="16"/>
      <x:c r="AA384" s="16"/>
      <x:c r="AB384" s="16"/>
      <x:c r="AC384" s="16"/>
      <x:c r="AD384" s="16"/>
    </x:row>
    <x:row r="385">
      <x:c r="A385" s="24"/>
      <x:c r="B385" s="24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16"/>
      <x:c r="V385" s="16"/>
      <x:c r="W385" s="16"/>
      <x:c r="X385" s="16"/>
      <x:c r="Y385" s="16"/>
      <x:c r="Z385" s="16"/>
      <x:c r="AA385" s="16"/>
      <x:c r="AB385" s="16"/>
      <x:c r="AC385" s="16"/>
      <x:c r="AD385" s="16"/>
    </x:row>
    <x:row r="386">
      <x:c r="A386" s="24"/>
      <x:c r="B386" s="24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16"/>
      <x:c r="V386" s="16"/>
      <x:c r="W386" s="16"/>
      <x:c r="X386" s="16"/>
      <x:c r="Y386" s="16"/>
      <x:c r="Z386" s="16"/>
      <x:c r="AA386" s="16"/>
      <x:c r="AB386" s="16"/>
      <x:c r="AC386" s="16"/>
      <x:c r="AD386" s="16"/>
    </x:row>
    <x:row r="387">
      <x:c r="A387" s="24"/>
      <x:c r="B387" s="24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16"/>
      <x:c r="V387" s="16"/>
      <x:c r="W387" s="16"/>
      <x:c r="X387" s="16"/>
      <x:c r="Y387" s="16"/>
      <x:c r="Z387" s="16"/>
      <x:c r="AA387" s="16"/>
      <x:c r="AB387" s="16"/>
      <x:c r="AC387" s="16"/>
      <x:c r="AD387" s="16"/>
    </x:row>
    <x:row r="388">
      <x:c r="A388" s="24"/>
      <x:c r="B388" s="24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16"/>
      <x:c r="V388" s="16"/>
      <x:c r="W388" s="16"/>
      <x:c r="X388" s="16"/>
      <x:c r="Y388" s="16"/>
      <x:c r="Z388" s="16"/>
      <x:c r="AA388" s="16"/>
      <x:c r="AB388" s="16"/>
      <x:c r="AC388" s="16"/>
      <x:c r="AD388" s="16"/>
    </x:row>
    <x:row r="389">
      <x:c r="A389" s="24"/>
      <x:c r="B389" s="24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16"/>
      <x:c r="V389" s="16"/>
      <x:c r="W389" s="16"/>
      <x:c r="X389" s="16"/>
      <x:c r="Y389" s="16"/>
      <x:c r="Z389" s="16"/>
      <x:c r="AA389" s="16"/>
      <x:c r="AB389" s="16"/>
      <x:c r="AC389" s="16"/>
      <x:c r="AD389" s="16"/>
    </x:row>
    <x:row r="390">
      <x:c r="A390" s="24"/>
      <x:c r="B390" s="24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16"/>
      <x:c r="V390" s="16"/>
      <x:c r="W390" s="16"/>
      <x:c r="X390" s="16"/>
      <x:c r="Y390" s="16"/>
      <x:c r="Z390" s="16"/>
      <x:c r="AA390" s="16"/>
      <x:c r="AB390" s="16"/>
      <x:c r="AC390" s="16"/>
      <x:c r="AD390" s="16"/>
    </x:row>
    <x:row r="391">
      <x:c r="A391" s="24"/>
      <x:c r="B391" s="24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16"/>
      <x:c r="V391" s="16"/>
      <x:c r="W391" s="16"/>
      <x:c r="X391" s="16"/>
      <x:c r="Y391" s="16"/>
      <x:c r="Z391" s="16"/>
      <x:c r="AA391" s="16"/>
      <x:c r="AB391" s="16"/>
      <x:c r="AC391" s="16"/>
      <x:c r="AD391" s="16"/>
    </x:row>
    <x:row r="392">
      <x:c r="A392" s="24"/>
      <x:c r="B392" s="24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16"/>
      <x:c r="V392" s="16"/>
      <x:c r="W392" s="16"/>
      <x:c r="X392" s="16"/>
      <x:c r="Y392" s="16"/>
      <x:c r="Z392" s="16"/>
      <x:c r="AA392" s="16"/>
      <x:c r="AB392" s="16"/>
      <x:c r="AC392" s="16"/>
      <x:c r="AD392" s="16"/>
    </x:row>
    <x:row r="393">
      <x:c r="A393" s="24"/>
      <x:c r="B393" s="24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16"/>
      <x:c r="V393" s="16"/>
      <x:c r="W393" s="16"/>
      <x:c r="X393" s="16"/>
      <x:c r="Y393" s="16"/>
      <x:c r="Z393" s="16"/>
      <x:c r="AA393" s="16"/>
      <x:c r="AB393" s="16"/>
      <x:c r="AC393" s="16"/>
      <x:c r="AD393" s="16"/>
    </x:row>
    <x:row r="394">
      <x:c r="A394" s="24"/>
      <x:c r="B394" s="24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16"/>
      <x:c r="V394" s="16"/>
      <x:c r="W394" s="16"/>
      <x:c r="X394" s="16"/>
      <x:c r="Y394" s="16"/>
      <x:c r="Z394" s="16"/>
      <x:c r="AA394" s="16"/>
      <x:c r="AB394" s="16"/>
      <x:c r="AC394" s="16"/>
      <x:c r="AD394" s="16"/>
    </x:row>
    <x:row r="395">
      <x:c r="A395" s="24"/>
      <x:c r="B395" s="24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16"/>
      <x:c r="V395" s="16"/>
      <x:c r="W395" s="16"/>
      <x:c r="X395" s="16"/>
      <x:c r="Y395" s="16"/>
      <x:c r="Z395" s="16"/>
      <x:c r="AA395" s="16"/>
      <x:c r="AB395" s="16"/>
      <x:c r="AC395" s="16"/>
      <x:c r="AD395" s="16"/>
    </x:row>
    <x:row r="396">
      <x:c r="A396" s="24"/>
      <x:c r="B396" s="24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16"/>
      <x:c r="V396" s="16"/>
      <x:c r="W396" s="16"/>
      <x:c r="X396" s="16"/>
      <x:c r="Y396" s="16"/>
      <x:c r="Z396" s="16"/>
      <x:c r="AA396" s="16"/>
      <x:c r="AB396" s="16"/>
      <x:c r="AC396" s="16"/>
      <x:c r="AD396" s="16"/>
    </x:row>
    <x:row r="397">
      <x:c r="A397" s="24"/>
      <x:c r="B397" s="24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16"/>
      <x:c r="V397" s="16"/>
      <x:c r="W397" s="16"/>
      <x:c r="X397" s="16"/>
      <x:c r="Y397" s="16"/>
      <x:c r="Z397" s="16"/>
      <x:c r="AA397" s="16"/>
      <x:c r="AB397" s="16"/>
      <x:c r="AC397" s="16"/>
      <x:c r="AD397" s="16"/>
    </x:row>
    <x:row r="398">
      <x:c r="A398" s="24"/>
      <x:c r="B398" s="24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16"/>
      <x:c r="V398" s="16"/>
      <x:c r="W398" s="16"/>
      <x:c r="X398" s="16"/>
      <x:c r="Y398" s="16"/>
      <x:c r="Z398" s="16"/>
      <x:c r="AA398" s="16"/>
      <x:c r="AB398" s="16"/>
      <x:c r="AC398" s="16"/>
      <x:c r="AD398" s="16"/>
    </x:row>
    <x:row r="399">
      <x:c r="A399" s="24"/>
      <x:c r="B399" s="24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16"/>
      <x:c r="V399" s="16"/>
      <x:c r="W399" s="16"/>
      <x:c r="X399" s="16"/>
      <x:c r="Y399" s="16"/>
      <x:c r="Z399" s="16"/>
      <x:c r="AA399" s="16"/>
      <x:c r="AB399" s="16"/>
      <x:c r="AC399" s="16"/>
      <x:c r="AD399" s="16"/>
    </x:row>
    <x:row r="400">
      <x:c r="A400" s="24"/>
      <x:c r="B400" s="24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16"/>
      <x:c r="V400" s="16"/>
      <x:c r="W400" s="16"/>
      <x:c r="X400" s="16"/>
      <x:c r="Y400" s="16"/>
      <x:c r="Z400" s="16"/>
      <x:c r="AA400" s="16"/>
      <x:c r="AB400" s="16"/>
      <x:c r="AC400" s="16"/>
      <x:c r="AD400" s="16"/>
    </x:row>
    <x:row r="401">
      <x:c r="A401" s="24"/>
      <x:c r="B401" s="24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16"/>
      <x:c r="V401" s="16"/>
      <x:c r="W401" s="16"/>
      <x:c r="X401" s="16"/>
      <x:c r="Y401" s="16"/>
      <x:c r="Z401" s="16"/>
      <x:c r="AA401" s="16"/>
      <x:c r="AB401" s="16"/>
      <x:c r="AC401" s="16"/>
      <x:c r="AD401" s="16"/>
    </x:row>
    <x:row r="402">
      <x:c r="A402" s="24"/>
      <x:c r="B402" s="24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16"/>
      <x:c r="V402" s="16"/>
      <x:c r="W402" s="16"/>
      <x:c r="X402" s="16"/>
      <x:c r="Y402" s="16"/>
      <x:c r="Z402" s="16"/>
      <x:c r="AA402" s="16"/>
      <x:c r="AB402" s="16"/>
      <x:c r="AC402" s="16"/>
      <x:c r="AD402" s="16"/>
    </x:row>
    <x:row r="403">
      <x:c r="A403" s="24"/>
      <x:c r="B403" s="24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16"/>
      <x:c r="V403" s="16"/>
      <x:c r="W403" s="16"/>
      <x:c r="X403" s="16"/>
      <x:c r="Y403" s="16"/>
      <x:c r="Z403" s="16"/>
      <x:c r="AA403" s="16"/>
      <x:c r="AB403" s="16"/>
      <x:c r="AC403" s="16"/>
      <x:c r="AD403" s="16"/>
    </x:row>
    <x:row r="404">
      <x:c r="A404" s="24"/>
      <x:c r="B404" s="24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16"/>
      <x:c r="V404" s="16"/>
      <x:c r="W404" s="16"/>
      <x:c r="X404" s="16"/>
      <x:c r="Y404" s="16"/>
      <x:c r="Z404" s="16"/>
      <x:c r="AA404" s="16"/>
      <x:c r="AB404" s="16"/>
      <x:c r="AC404" s="16"/>
      <x:c r="AD404" s="16"/>
    </x:row>
    <x:row r="405">
      <x:c r="A405" s="24"/>
      <x:c r="B405" s="24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16"/>
      <x:c r="V405" s="16"/>
      <x:c r="W405" s="16"/>
      <x:c r="X405" s="16"/>
      <x:c r="Y405" s="16"/>
      <x:c r="Z405" s="16"/>
      <x:c r="AA405" s="16"/>
      <x:c r="AB405" s="16"/>
      <x:c r="AC405" s="16"/>
      <x:c r="AD405" s="16"/>
    </x:row>
    <x:row r="406">
      <x:c r="A406" s="24"/>
      <x:c r="B406" s="24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16"/>
      <x:c r="V406" s="16"/>
      <x:c r="W406" s="16"/>
      <x:c r="X406" s="16"/>
      <x:c r="Y406" s="16"/>
      <x:c r="Z406" s="16"/>
      <x:c r="AA406" s="16"/>
      <x:c r="AB406" s="16"/>
      <x:c r="AC406" s="16"/>
      <x:c r="AD406" s="16"/>
    </x:row>
    <x:row r="407">
      <x:c r="A407" s="24"/>
      <x:c r="B407" s="24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16"/>
      <x:c r="V407" s="16"/>
      <x:c r="W407" s="16"/>
      <x:c r="X407" s="16"/>
      <x:c r="Y407" s="16"/>
      <x:c r="Z407" s="16"/>
      <x:c r="AA407" s="16"/>
      <x:c r="AB407" s="16"/>
      <x:c r="AC407" s="16"/>
      <x:c r="AD407" s="16"/>
    </x:row>
    <x:row r="408">
      <x:c r="A408" s="24"/>
      <x:c r="B408" s="24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16"/>
      <x:c r="V408" s="16"/>
      <x:c r="W408" s="16"/>
      <x:c r="X408" s="16"/>
      <x:c r="Y408" s="16"/>
      <x:c r="Z408" s="16"/>
      <x:c r="AA408" s="16"/>
      <x:c r="AB408" s="16"/>
      <x:c r="AC408" s="16"/>
      <x:c r="AD408" s="16"/>
    </x:row>
    <x:row r="409">
      <x:c r="A409" s="24"/>
      <x:c r="B409" s="24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16"/>
      <x:c r="V409" s="16"/>
      <x:c r="W409" s="16"/>
      <x:c r="X409" s="16"/>
      <x:c r="Y409" s="16"/>
      <x:c r="Z409" s="16"/>
      <x:c r="AA409" s="16"/>
      <x:c r="AB409" s="16"/>
      <x:c r="AC409" s="16"/>
      <x:c r="AD409" s="16"/>
    </x:row>
    <x:row r="410">
      <x:c r="A410" s="24"/>
      <x:c r="B410" s="24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16"/>
      <x:c r="V410" s="16"/>
      <x:c r="W410" s="16"/>
      <x:c r="X410" s="16"/>
      <x:c r="Y410" s="16"/>
      <x:c r="Z410" s="16"/>
      <x:c r="AA410" s="16"/>
      <x:c r="AB410" s="16"/>
      <x:c r="AC410" s="16"/>
      <x:c r="AD410" s="16"/>
    </x:row>
    <x:row r="411">
      <x:c r="A411" s="24"/>
      <x:c r="B411" s="24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16"/>
      <x:c r="V411" s="16"/>
      <x:c r="W411" s="16"/>
      <x:c r="X411" s="16"/>
      <x:c r="Y411" s="16"/>
      <x:c r="Z411" s="16"/>
      <x:c r="AA411" s="16"/>
      <x:c r="AB411" s="16"/>
      <x:c r="AC411" s="16"/>
      <x:c r="AD411" s="16"/>
    </x:row>
    <x:row r="412">
      <x:c r="A412" s="24"/>
      <x:c r="B412" s="24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16"/>
      <x:c r="V412" s="16"/>
      <x:c r="W412" s="16"/>
      <x:c r="X412" s="16"/>
      <x:c r="Y412" s="16"/>
      <x:c r="Z412" s="16"/>
      <x:c r="AA412" s="16"/>
      <x:c r="AB412" s="16"/>
      <x:c r="AC412" s="16"/>
      <x:c r="AD412" s="16"/>
    </x:row>
    <x:row r="413">
      <x:c r="A413" s="24"/>
      <x:c r="B413" s="24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16"/>
      <x:c r="V413" s="16"/>
      <x:c r="W413" s="16"/>
      <x:c r="X413" s="16"/>
      <x:c r="Y413" s="16"/>
      <x:c r="Z413" s="16"/>
      <x:c r="AA413" s="16"/>
      <x:c r="AB413" s="16"/>
      <x:c r="AC413" s="16"/>
      <x:c r="AD413" s="16"/>
    </x:row>
    <x:row r="414">
      <x:c r="A414" s="24"/>
      <x:c r="B414" s="24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16"/>
      <x:c r="V414" s="16"/>
      <x:c r="W414" s="16"/>
      <x:c r="X414" s="16"/>
      <x:c r="Y414" s="16"/>
      <x:c r="Z414" s="16"/>
      <x:c r="AA414" s="16"/>
      <x:c r="AB414" s="16"/>
      <x:c r="AC414" s="16"/>
      <x:c r="AD414" s="16"/>
    </x:row>
    <x:row r="415">
      <x:c r="A415" s="24"/>
      <x:c r="B415" s="24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16"/>
      <x:c r="V415" s="16"/>
      <x:c r="W415" s="16"/>
      <x:c r="X415" s="16"/>
      <x:c r="Y415" s="16"/>
      <x:c r="Z415" s="16"/>
      <x:c r="AA415" s="16"/>
      <x:c r="AB415" s="16"/>
      <x:c r="AC415" s="16"/>
      <x:c r="AD415" s="16"/>
    </x:row>
    <x:row r="416">
      <x:c r="A416" s="24"/>
      <x:c r="B416" s="24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16"/>
      <x:c r="V416" s="16"/>
      <x:c r="W416" s="16"/>
      <x:c r="X416" s="16"/>
      <x:c r="Y416" s="16"/>
      <x:c r="Z416" s="16"/>
      <x:c r="AA416" s="16"/>
      <x:c r="AB416" s="16"/>
      <x:c r="AC416" s="16"/>
      <x:c r="AD416" s="16"/>
    </x:row>
    <x:row r="417">
      <x:c r="A417" s="24"/>
      <x:c r="B417" s="24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16"/>
      <x:c r="V417" s="16"/>
      <x:c r="W417" s="16"/>
      <x:c r="X417" s="16"/>
      <x:c r="Y417" s="16"/>
      <x:c r="Z417" s="16"/>
      <x:c r="AA417" s="16"/>
      <x:c r="AB417" s="16"/>
      <x:c r="AC417" s="16"/>
      <x:c r="AD417" s="16"/>
    </x:row>
    <x:row r="418">
      <x:c r="A418" s="24"/>
      <x:c r="B418" s="24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16"/>
      <x:c r="V418" s="16"/>
      <x:c r="W418" s="16"/>
      <x:c r="X418" s="16"/>
      <x:c r="Y418" s="16"/>
      <x:c r="Z418" s="16"/>
      <x:c r="AA418" s="16"/>
      <x:c r="AB418" s="16"/>
      <x:c r="AC418" s="16"/>
      <x:c r="AD418" s="16"/>
    </x:row>
    <x:row r="419">
      <x:c r="A419" s="24"/>
      <x:c r="B419" s="24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16"/>
      <x:c r="V419" s="16"/>
      <x:c r="W419" s="16"/>
      <x:c r="X419" s="16"/>
      <x:c r="Y419" s="16"/>
      <x:c r="Z419" s="16"/>
      <x:c r="AA419" s="16"/>
      <x:c r="AB419" s="16"/>
      <x:c r="AC419" s="16"/>
      <x:c r="AD419" s="16"/>
    </x:row>
    <x:row r="420">
      <x:c r="A420" s="24"/>
      <x:c r="B420" s="24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16"/>
      <x:c r="V420" s="16"/>
      <x:c r="W420" s="16"/>
      <x:c r="X420" s="16"/>
      <x:c r="Y420" s="16"/>
      <x:c r="Z420" s="16"/>
      <x:c r="AA420" s="16"/>
      <x:c r="AB420" s="16"/>
      <x:c r="AC420" s="16"/>
      <x:c r="AD420" s="16"/>
    </x:row>
    <x:row r="421">
      <x:c r="A421" s="24"/>
      <x:c r="B421" s="24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16"/>
      <x:c r="V421" s="16"/>
      <x:c r="W421" s="16"/>
      <x:c r="X421" s="16"/>
      <x:c r="Y421" s="16"/>
      <x:c r="Z421" s="16"/>
      <x:c r="AA421" s="16"/>
      <x:c r="AB421" s="16"/>
      <x:c r="AC421" s="16"/>
      <x:c r="AD421" s="16"/>
    </x:row>
    <x:row r="422">
      <x:c r="A422" s="24"/>
      <x:c r="B422" s="24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16"/>
      <x:c r="V422" s="16"/>
      <x:c r="W422" s="16"/>
      <x:c r="X422" s="16"/>
      <x:c r="Y422" s="16"/>
      <x:c r="Z422" s="16"/>
      <x:c r="AA422" s="16"/>
      <x:c r="AB422" s="16"/>
      <x:c r="AC422" s="16"/>
      <x:c r="AD422" s="16"/>
    </x:row>
    <x:row r="423">
      <x:c r="A423" s="24"/>
      <x:c r="B423" s="24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16"/>
      <x:c r="V423" s="16"/>
      <x:c r="W423" s="16"/>
      <x:c r="X423" s="16"/>
      <x:c r="Y423" s="16"/>
      <x:c r="Z423" s="16"/>
      <x:c r="AA423" s="16"/>
      <x:c r="AB423" s="16"/>
      <x:c r="AC423" s="16"/>
      <x:c r="AD423" s="16"/>
    </x:row>
    <x:row r="424">
      <x:c r="A424" s="24"/>
      <x:c r="B424" s="24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16"/>
      <x:c r="V424" s="16"/>
      <x:c r="W424" s="16"/>
      <x:c r="X424" s="16"/>
      <x:c r="Y424" s="16"/>
      <x:c r="Z424" s="16"/>
      <x:c r="AA424" s="16"/>
      <x:c r="AB424" s="16"/>
      <x:c r="AC424" s="16"/>
      <x:c r="AD424" s="16"/>
    </x:row>
    <x:row r="425">
      <x:c r="A425" s="24"/>
      <x:c r="B425" s="24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16"/>
      <x:c r="V425" s="16"/>
      <x:c r="W425" s="16"/>
      <x:c r="X425" s="16"/>
      <x:c r="Y425" s="16"/>
      <x:c r="Z425" s="16"/>
      <x:c r="AA425" s="16"/>
      <x:c r="AB425" s="16"/>
      <x:c r="AC425" s="16"/>
      <x:c r="AD425" s="16"/>
    </x:row>
    <x:row r="426">
      <x:c r="A426" s="24"/>
      <x:c r="B426" s="24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16"/>
      <x:c r="V426" s="16"/>
      <x:c r="W426" s="16"/>
      <x:c r="X426" s="16"/>
      <x:c r="Y426" s="16"/>
      <x:c r="Z426" s="16"/>
      <x:c r="AA426" s="16"/>
      <x:c r="AB426" s="16"/>
      <x:c r="AC426" s="16"/>
      <x:c r="AD426" s="16"/>
    </x:row>
    <x:row r="427">
      <x:c r="A427" s="24"/>
      <x:c r="B427" s="24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16"/>
      <x:c r="V427" s="16"/>
      <x:c r="W427" s="16"/>
      <x:c r="X427" s="16"/>
      <x:c r="Y427" s="16"/>
      <x:c r="Z427" s="16"/>
      <x:c r="AA427" s="16"/>
      <x:c r="AB427" s="16"/>
      <x:c r="AC427" s="16"/>
      <x:c r="AD427" s="16"/>
    </x:row>
    <x:row r="428">
      <x:c r="A428" s="24"/>
      <x:c r="B428" s="24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16"/>
      <x:c r="V428" s="16"/>
      <x:c r="W428" s="16"/>
      <x:c r="X428" s="16"/>
      <x:c r="Y428" s="16"/>
      <x:c r="Z428" s="16"/>
      <x:c r="AA428" s="16"/>
      <x:c r="AB428" s="16"/>
      <x:c r="AC428" s="16"/>
      <x:c r="AD428" s="16"/>
    </x:row>
    <x:row r="429">
      <x:c r="A429" s="24"/>
      <x:c r="B429" s="24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16"/>
      <x:c r="V429" s="16"/>
      <x:c r="W429" s="16"/>
      <x:c r="X429" s="16"/>
      <x:c r="Y429" s="16"/>
      <x:c r="Z429" s="16"/>
      <x:c r="AA429" s="16"/>
      <x:c r="AB429" s="16"/>
      <x:c r="AC429" s="16"/>
      <x:c r="AD429" s="16"/>
    </x:row>
    <x:row r="430">
      <x:c r="A430" s="24"/>
      <x:c r="B430" s="24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16"/>
      <x:c r="V430" s="16"/>
      <x:c r="W430" s="16"/>
      <x:c r="X430" s="16"/>
      <x:c r="Y430" s="16"/>
      <x:c r="Z430" s="16"/>
      <x:c r="AA430" s="16"/>
      <x:c r="AB430" s="16"/>
      <x:c r="AC430" s="16"/>
      <x:c r="AD430" s="16"/>
    </x:row>
    <x:row r="431">
      <x:c r="A431" s="24"/>
      <x:c r="B431" s="24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16"/>
      <x:c r="V431" s="16"/>
      <x:c r="W431" s="16"/>
      <x:c r="X431" s="16"/>
      <x:c r="Y431" s="16"/>
      <x:c r="Z431" s="16"/>
      <x:c r="AA431" s="16"/>
      <x:c r="AB431" s="16"/>
      <x:c r="AC431" s="16"/>
      <x:c r="AD431" s="16"/>
    </x:row>
    <x:row r="432">
      <x:c r="A432" s="24"/>
      <x:c r="B432" s="24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16"/>
      <x:c r="V432" s="16"/>
      <x:c r="W432" s="16"/>
      <x:c r="X432" s="16"/>
      <x:c r="Y432" s="16"/>
      <x:c r="Z432" s="16"/>
      <x:c r="AA432" s="16"/>
      <x:c r="AB432" s="16"/>
      <x:c r="AC432" s="16"/>
      <x:c r="AD432" s="16"/>
    </x:row>
    <x:row r="433">
      <x:c r="A433" s="24"/>
      <x:c r="B433" s="24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16"/>
      <x:c r="V433" s="16"/>
      <x:c r="W433" s="16"/>
      <x:c r="X433" s="16"/>
      <x:c r="Y433" s="16"/>
      <x:c r="Z433" s="16"/>
      <x:c r="AA433" s="16"/>
      <x:c r="AB433" s="16"/>
      <x:c r="AC433" s="16"/>
      <x:c r="AD433" s="16"/>
    </x:row>
    <x:row r="434">
      <x:c r="A434" s="24"/>
      <x:c r="B434" s="24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16"/>
      <x:c r="V434" s="16"/>
      <x:c r="W434" s="16"/>
      <x:c r="X434" s="16"/>
      <x:c r="Y434" s="16"/>
      <x:c r="Z434" s="16"/>
      <x:c r="AA434" s="16"/>
      <x:c r="AB434" s="16"/>
      <x:c r="AC434" s="16"/>
      <x:c r="AD434" s="16"/>
    </x:row>
    <x:row r="435">
      <x:c r="A435" s="24"/>
      <x:c r="B435" s="24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16"/>
      <x:c r="V435" s="16"/>
      <x:c r="W435" s="16"/>
      <x:c r="X435" s="16"/>
      <x:c r="Y435" s="16"/>
      <x:c r="Z435" s="16"/>
      <x:c r="AA435" s="16"/>
      <x:c r="AB435" s="16"/>
      <x:c r="AC435" s="16"/>
      <x:c r="AD435" s="16"/>
    </x:row>
    <x:row r="436">
      <x:c r="A436" s="24"/>
      <x:c r="B436" s="24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16"/>
      <x:c r="V436" s="16"/>
      <x:c r="W436" s="16"/>
      <x:c r="X436" s="16"/>
      <x:c r="Y436" s="16"/>
      <x:c r="Z436" s="16"/>
      <x:c r="AA436" s="16"/>
      <x:c r="AB436" s="16"/>
      <x:c r="AC436" s="16"/>
      <x:c r="AD436" s="16"/>
    </x:row>
    <x:row r="437">
      <x:c r="A437" s="24"/>
      <x:c r="B437" s="24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16"/>
      <x:c r="V437" s="16"/>
      <x:c r="W437" s="16"/>
      <x:c r="X437" s="16"/>
      <x:c r="Y437" s="16"/>
      <x:c r="Z437" s="16"/>
      <x:c r="AA437" s="16"/>
      <x:c r="AB437" s="16"/>
      <x:c r="AC437" s="16"/>
      <x:c r="AD437" s="16"/>
    </x:row>
    <x:row r="438">
      <x:c r="A438" s="24"/>
      <x:c r="B438" s="24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16"/>
      <x:c r="V438" s="16"/>
      <x:c r="W438" s="16"/>
      <x:c r="X438" s="16"/>
      <x:c r="Y438" s="16"/>
      <x:c r="Z438" s="16"/>
      <x:c r="AA438" s="16"/>
      <x:c r="AB438" s="16"/>
      <x:c r="AC438" s="16"/>
      <x:c r="AD438" s="16"/>
    </x:row>
    <x:row r="439">
      <x:c r="A439" s="24"/>
      <x:c r="B439" s="24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16"/>
      <x:c r="V439" s="16"/>
      <x:c r="W439" s="16"/>
      <x:c r="X439" s="16"/>
      <x:c r="Y439" s="16"/>
      <x:c r="Z439" s="16"/>
      <x:c r="AA439" s="16"/>
      <x:c r="AB439" s="16"/>
      <x:c r="AC439" s="16"/>
      <x:c r="AD439" s="16"/>
    </x:row>
    <x:row r="440">
      <x:c r="A440" s="24"/>
      <x:c r="B440" s="24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16"/>
      <x:c r="V440" s="16"/>
      <x:c r="W440" s="16"/>
      <x:c r="X440" s="16"/>
      <x:c r="Y440" s="16"/>
      <x:c r="Z440" s="16"/>
      <x:c r="AA440" s="16"/>
      <x:c r="AB440" s="16"/>
      <x:c r="AC440" s="16"/>
      <x:c r="AD440" s="16"/>
    </x:row>
    <x:row r="441">
      <x:c r="A441" s="24"/>
      <x:c r="B441" s="24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16"/>
      <x:c r="V441" s="16"/>
      <x:c r="W441" s="16"/>
      <x:c r="X441" s="16"/>
      <x:c r="Y441" s="16"/>
      <x:c r="Z441" s="16"/>
      <x:c r="AA441" s="16"/>
      <x:c r="AB441" s="16"/>
      <x:c r="AC441" s="16"/>
      <x:c r="AD441" s="16"/>
    </x:row>
    <x:row r="442">
      <x:c r="A442" s="24"/>
      <x:c r="B442" s="24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16"/>
      <x:c r="V442" s="16"/>
      <x:c r="W442" s="16"/>
      <x:c r="X442" s="16"/>
      <x:c r="Y442" s="16"/>
      <x:c r="Z442" s="16"/>
      <x:c r="AA442" s="16"/>
      <x:c r="AB442" s="16"/>
      <x:c r="AC442" s="16"/>
      <x:c r="AD442" s="16"/>
    </x:row>
    <x:row r="443">
      <x:c r="A443" s="24"/>
      <x:c r="B443" s="24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16"/>
      <x:c r="V443" s="16"/>
      <x:c r="W443" s="16"/>
      <x:c r="X443" s="16"/>
      <x:c r="Y443" s="16"/>
      <x:c r="Z443" s="16"/>
      <x:c r="AA443" s="16"/>
      <x:c r="AB443" s="16"/>
      <x:c r="AC443" s="16"/>
      <x:c r="AD443" s="16"/>
    </x:row>
    <x:row r="444">
      <x:c r="A444" s="24"/>
      <x:c r="B444" s="24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16"/>
      <x:c r="V444" s="16"/>
      <x:c r="W444" s="16"/>
      <x:c r="X444" s="16"/>
      <x:c r="Y444" s="16"/>
      <x:c r="Z444" s="16"/>
      <x:c r="AA444" s="16"/>
      <x:c r="AB444" s="16"/>
      <x:c r="AC444" s="16"/>
      <x:c r="AD444" s="16"/>
    </x:row>
    <x:row r="445">
      <x:c r="A445" s="24"/>
      <x:c r="B445" s="24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16"/>
      <x:c r="V445" s="16"/>
      <x:c r="W445" s="16"/>
      <x:c r="X445" s="16"/>
      <x:c r="Y445" s="16"/>
      <x:c r="Z445" s="16"/>
      <x:c r="AA445" s="16"/>
      <x:c r="AB445" s="16"/>
      <x:c r="AC445" s="16"/>
      <x:c r="AD445" s="16"/>
    </x:row>
    <x:row r="446">
      <x:c r="A446" s="24"/>
      <x:c r="B446" s="24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16"/>
      <x:c r="V446" s="16"/>
      <x:c r="W446" s="16"/>
      <x:c r="X446" s="16"/>
      <x:c r="Y446" s="16"/>
      <x:c r="Z446" s="16"/>
      <x:c r="AA446" s="16"/>
      <x:c r="AB446" s="16"/>
      <x:c r="AC446" s="16"/>
      <x:c r="AD446" s="16"/>
    </x:row>
    <x:row r="447">
      <x:c r="A447" s="24"/>
      <x:c r="B447" s="24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16"/>
      <x:c r="V447" s="16"/>
      <x:c r="W447" s="16"/>
      <x:c r="X447" s="16"/>
      <x:c r="Y447" s="16"/>
      <x:c r="Z447" s="16"/>
      <x:c r="AA447" s="16"/>
      <x:c r="AB447" s="16"/>
      <x:c r="AC447" s="16"/>
      <x:c r="AD447" s="16"/>
    </x:row>
    <x:row r="448">
      <x:c r="A448" s="24"/>
      <x:c r="B448" s="24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16"/>
      <x:c r="V448" s="16"/>
      <x:c r="W448" s="16"/>
      <x:c r="X448" s="16"/>
      <x:c r="Y448" s="16"/>
      <x:c r="Z448" s="16"/>
      <x:c r="AA448" s="16"/>
      <x:c r="AB448" s="16"/>
      <x:c r="AC448" s="16"/>
      <x:c r="AD448" s="16"/>
    </x:row>
    <x:row r="449">
      <x:c r="A449" s="24"/>
      <x:c r="B449" s="24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16"/>
      <x:c r="V449" s="16"/>
      <x:c r="W449" s="16"/>
      <x:c r="X449" s="16"/>
      <x:c r="Y449" s="16"/>
      <x:c r="Z449" s="16"/>
      <x:c r="AA449" s="16"/>
      <x:c r="AB449" s="16"/>
      <x:c r="AC449" s="16"/>
      <x:c r="AD449" s="16"/>
    </x:row>
    <x:row r="450">
      <x:c r="A450" s="24"/>
      <x:c r="B450" s="24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16"/>
      <x:c r="V450" s="16"/>
      <x:c r="W450" s="16"/>
      <x:c r="X450" s="16"/>
      <x:c r="Y450" s="16"/>
      <x:c r="Z450" s="16"/>
      <x:c r="AA450" s="16"/>
      <x:c r="AB450" s="16"/>
      <x:c r="AC450" s="16"/>
      <x:c r="AD450" s="16"/>
    </x:row>
    <x:row r="451">
      <x:c r="A451" s="24"/>
      <x:c r="B451" s="24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16"/>
      <x:c r="V451" s="16"/>
      <x:c r="W451" s="16"/>
      <x:c r="X451" s="16"/>
      <x:c r="Y451" s="16"/>
      <x:c r="Z451" s="16"/>
      <x:c r="AA451" s="16"/>
      <x:c r="AB451" s="16"/>
      <x:c r="AC451" s="16"/>
      <x:c r="AD451" s="16"/>
    </x:row>
    <x:row r="452">
      <x:c r="A452" s="24"/>
      <x:c r="B452" s="24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16"/>
      <x:c r="V452" s="16"/>
      <x:c r="W452" s="16"/>
      <x:c r="X452" s="16"/>
      <x:c r="Y452" s="16"/>
      <x:c r="Z452" s="16"/>
      <x:c r="AA452" s="16"/>
      <x:c r="AB452" s="16"/>
      <x:c r="AC452" s="16"/>
      <x:c r="AD452" s="16"/>
    </x:row>
    <x:row r="453">
      <x:c r="A453" s="24"/>
      <x:c r="B453" s="24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16"/>
      <x:c r="V453" s="16"/>
      <x:c r="W453" s="16"/>
      <x:c r="X453" s="16"/>
      <x:c r="Y453" s="16"/>
      <x:c r="Z453" s="16"/>
      <x:c r="AA453" s="16"/>
      <x:c r="AB453" s="16"/>
      <x:c r="AC453" s="16"/>
      <x:c r="AD453" s="16"/>
    </x:row>
    <x:row r="454">
      <x:c r="A454" s="24"/>
      <x:c r="B454" s="24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16"/>
      <x:c r="V454" s="16"/>
      <x:c r="W454" s="16"/>
      <x:c r="X454" s="16"/>
      <x:c r="Y454" s="16"/>
      <x:c r="Z454" s="16"/>
      <x:c r="AA454" s="16"/>
      <x:c r="AB454" s="16"/>
      <x:c r="AC454" s="16"/>
      <x:c r="AD454" s="16"/>
    </x:row>
    <x:row r="455">
      <x:c r="A455" s="24"/>
      <x:c r="B455" s="24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16"/>
      <x:c r="V455" s="16"/>
      <x:c r="W455" s="16"/>
      <x:c r="X455" s="16"/>
      <x:c r="Y455" s="16"/>
      <x:c r="Z455" s="16"/>
      <x:c r="AA455" s="16"/>
      <x:c r="AB455" s="16"/>
      <x:c r="AC455" s="16"/>
      <x:c r="AD455" s="16"/>
    </x:row>
    <x:row r="456">
      <x:c r="A456" s="24"/>
      <x:c r="B456" s="24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16"/>
      <x:c r="V456" s="16"/>
      <x:c r="W456" s="16"/>
      <x:c r="X456" s="16"/>
      <x:c r="Y456" s="16"/>
      <x:c r="Z456" s="16"/>
      <x:c r="AA456" s="16"/>
      <x:c r="AB456" s="16"/>
      <x:c r="AC456" s="16"/>
      <x:c r="AD456" s="16"/>
    </x:row>
    <x:row r="457">
      <x:c r="A457" s="24"/>
      <x:c r="B457" s="24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16"/>
      <x:c r="V457" s="16"/>
      <x:c r="W457" s="16"/>
      <x:c r="X457" s="16"/>
      <x:c r="Y457" s="16"/>
      <x:c r="Z457" s="16"/>
      <x:c r="AA457" s="16"/>
      <x:c r="AB457" s="16"/>
      <x:c r="AC457" s="16"/>
      <x:c r="AD457" s="16"/>
    </x:row>
    <x:row r="458">
      <x:c r="A458" s="24"/>
      <x:c r="B458" s="24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16"/>
      <x:c r="V458" s="16"/>
      <x:c r="W458" s="16"/>
      <x:c r="X458" s="16"/>
      <x:c r="Y458" s="16"/>
      <x:c r="Z458" s="16"/>
      <x:c r="AA458" s="16"/>
      <x:c r="AB458" s="16"/>
      <x:c r="AC458" s="16"/>
      <x:c r="AD458" s="16"/>
    </x:row>
    <x:row r="459">
      <x:c r="A459" s="24"/>
      <x:c r="B459" s="24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16"/>
      <x:c r="V459" s="16"/>
      <x:c r="W459" s="16"/>
      <x:c r="X459" s="16"/>
      <x:c r="Y459" s="16"/>
      <x:c r="Z459" s="16"/>
      <x:c r="AA459" s="16"/>
      <x:c r="AB459" s="16"/>
      <x:c r="AC459" s="16"/>
      <x:c r="AD459" s="16"/>
    </x:row>
    <x:row r="460">
      <x:c r="A460" s="24"/>
      <x:c r="B460" s="24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16"/>
      <x:c r="V460" s="16"/>
      <x:c r="W460" s="16"/>
      <x:c r="X460" s="16"/>
      <x:c r="Y460" s="16"/>
      <x:c r="Z460" s="16"/>
      <x:c r="AA460" s="16"/>
      <x:c r="AB460" s="16"/>
      <x:c r="AC460" s="16"/>
      <x:c r="AD460" s="16"/>
    </x:row>
    <x:row r="461">
      <x:c r="A461" s="24"/>
      <x:c r="B461" s="24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16"/>
      <x:c r="V461" s="16"/>
      <x:c r="W461" s="16"/>
      <x:c r="X461" s="16"/>
      <x:c r="Y461" s="16"/>
      <x:c r="Z461" s="16"/>
      <x:c r="AA461" s="16"/>
      <x:c r="AB461" s="16"/>
      <x:c r="AC461" s="16"/>
      <x:c r="AD461" s="16"/>
    </x:row>
    <x:row r="462">
      <x:c r="A462" s="24"/>
      <x:c r="B462" s="24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16"/>
      <x:c r="V462" s="16"/>
      <x:c r="W462" s="16"/>
      <x:c r="X462" s="16"/>
      <x:c r="Y462" s="16"/>
      <x:c r="Z462" s="16"/>
      <x:c r="AA462" s="16"/>
      <x:c r="AB462" s="16"/>
      <x:c r="AC462" s="16"/>
      <x:c r="AD462" s="16"/>
    </x:row>
    <x:row r="463">
      <x:c r="A463" s="24"/>
      <x:c r="B463" s="24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16"/>
      <x:c r="V463" s="16"/>
      <x:c r="W463" s="16"/>
      <x:c r="X463" s="16"/>
      <x:c r="Y463" s="16"/>
      <x:c r="Z463" s="16"/>
      <x:c r="AA463" s="16"/>
      <x:c r="AB463" s="16"/>
      <x:c r="AC463" s="16"/>
      <x:c r="AD463" s="16"/>
    </x:row>
    <x:row r="464">
      <x:c r="A464" s="24"/>
      <x:c r="B464" s="24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16"/>
      <x:c r="V464" s="16"/>
      <x:c r="W464" s="16"/>
      <x:c r="X464" s="16"/>
      <x:c r="Y464" s="16"/>
      <x:c r="Z464" s="16"/>
      <x:c r="AA464" s="16"/>
      <x:c r="AB464" s="16"/>
      <x:c r="AC464" s="16"/>
      <x:c r="AD464" s="16"/>
    </x:row>
    <x:row r="465">
      <x:c r="A465" s="24"/>
      <x:c r="B465" s="24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16"/>
      <x:c r="V465" s="16"/>
      <x:c r="W465" s="16"/>
      <x:c r="X465" s="16"/>
      <x:c r="Y465" s="16"/>
      <x:c r="Z465" s="16"/>
      <x:c r="AA465" s="16"/>
      <x:c r="AB465" s="16"/>
      <x:c r="AC465" s="16"/>
      <x:c r="AD465" s="16"/>
    </x:row>
    <x:row r="466">
      <x:c r="A466" s="24"/>
      <x:c r="B466" s="24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16"/>
      <x:c r="V466" s="16"/>
      <x:c r="W466" s="16"/>
      <x:c r="X466" s="16"/>
      <x:c r="Y466" s="16"/>
      <x:c r="Z466" s="16"/>
      <x:c r="AA466" s="16"/>
      <x:c r="AB466" s="16"/>
      <x:c r="AC466" s="16"/>
      <x:c r="AD466" s="16"/>
    </x:row>
    <x:row r="467">
      <x:c r="A467" s="24"/>
      <x:c r="B467" s="24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16"/>
      <x:c r="V467" s="16"/>
      <x:c r="W467" s="16"/>
      <x:c r="X467" s="16"/>
      <x:c r="Y467" s="16"/>
      <x:c r="Z467" s="16"/>
      <x:c r="AA467" s="16"/>
      <x:c r="AB467" s="16"/>
      <x:c r="AC467" s="16"/>
      <x:c r="AD467" s="16"/>
    </x:row>
    <x:row r="468">
      <x:c r="A468" s="24"/>
      <x:c r="B468" s="24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16"/>
      <x:c r="V468" s="16"/>
      <x:c r="W468" s="16"/>
      <x:c r="X468" s="16"/>
      <x:c r="Y468" s="16"/>
      <x:c r="Z468" s="16"/>
      <x:c r="AA468" s="16"/>
      <x:c r="AB468" s="16"/>
      <x:c r="AC468" s="16"/>
      <x:c r="AD468" s="16"/>
    </x:row>
    <x:row r="469">
      <x:c r="A469" s="24"/>
      <x:c r="B469" s="24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16"/>
      <x:c r="V469" s="16"/>
      <x:c r="W469" s="16"/>
      <x:c r="X469" s="16"/>
      <x:c r="Y469" s="16"/>
      <x:c r="Z469" s="16"/>
      <x:c r="AA469" s="16"/>
      <x:c r="AB469" s="16"/>
      <x:c r="AC469" s="16"/>
      <x:c r="AD469" s="16"/>
    </x:row>
    <x:row r="470">
      <x:c r="A470" s="24"/>
      <x:c r="B470" s="24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16"/>
      <x:c r="V470" s="16"/>
      <x:c r="W470" s="16"/>
      <x:c r="X470" s="16"/>
      <x:c r="Y470" s="16"/>
      <x:c r="Z470" s="16"/>
      <x:c r="AA470" s="16"/>
      <x:c r="AB470" s="16"/>
      <x:c r="AC470" s="16"/>
      <x:c r="AD470" s="16"/>
    </x:row>
    <x:row r="471">
      <x:c r="A471" s="24"/>
      <x:c r="B471" s="24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16"/>
      <x:c r="V471" s="16"/>
      <x:c r="W471" s="16"/>
      <x:c r="X471" s="16"/>
      <x:c r="Y471" s="16"/>
      <x:c r="Z471" s="16"/>
      <x:c r="AA471" s="16"/>
      <x:c r="AB471" s="16"/>
      <x:c r="AC471" s="16"/>
      <x:c r="AD471" s="16"/>
    </x:row>
    <x:row r="472">
      <x:c r="A472" s="24"/>
      <x:c r="B472" s="24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16"/>
      <x:c r="V472" s="16"/>
      <x:c r="W472" s="16"/>
      <x:c r="X472" s="16"/>
      <x:c r="Y472" s="16"/>
      <x:c r="Z472" s="16"/>
      <x:c r="AA472" s="16"/>
      <x:c r="AB472" s="16"/>
      <x:c r="AC472" s="16"/>
      <x:c r="AD472" s="16"/>
    </x:row>
    <x:row r="473">
      <x:c r="A473" s="24"/>
      <x:c r="B473" s="24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16"/>
      <x:c r="V473" s="16"/>
      <x:c r="W473" s="16"/>
      <x:c r="X473" s="16"/>
      <x:c r="Y473" s="16"/>
      <x:c r="Z473" s="16"/>
      <x:c r="AA473" s="16"/>
      <x:c r="AB473" s="16"/>
      <x:c r="AC473" s="16"/>
      <x:c r="AD473" s="16"/>
    </x:row>
    <x:row r="474">
      <x:c r="A474" s="24"/>
      <x:c r="B474" s="24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16"/>
      <x:c r="V474" s="16"/>
      <x:c r="W474" s="16"/>
      <x:c r="X474" s="16"/>
      <x:c r="Y474" s="16"/>
      <x:c r="Z474" s="16"/>
      <x:c r="AA474" s="16"/>
      <x:c r="AB474" s="16"/>
      <x:c r="AC474" s="16"/>
      <x:c r="AD474" s="16"/>
    </x:row>
    <x:row r="475">
      <x:c r="A475" s="24"/>
      <x:c r="B475" s="24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16"/>
      <x:c r="V475" s="16"/>
      <x:c r="W475" s="16"/>
      <x:c r="X475" s="16"/>
      <x:c r="Y475" s="16"/>
      <x:c r="Z475" s="16"/>
      <x:c r="AA475" s="16"/>
      <x:c r="AB475" s="16"/>
      <x:c r="AC475" s="16"/>
      <x:c r="AD475" s="16"/>
    </x:row>
    <x:row r="476">
      <x:c r="A476" s="24"/>
      <x:c r="B476" s="24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16"/>
      <x:c r="V476" s="16"/>
      <x:c r="W476" s="16"/>
      <x:c r="X476" s="16"/>
      <x:c r="Y476" s="16"/>
      <x:c r="Z476" s="16"/>
      <x:c r="AA476" s="16"/>
      <x:c r="AB476" s="16"/>
      <x:c r="AC476" s="16"/>
      <x:c r="AD476" s="16"/>
    </x:row>
    <x:row r="477">
      <x:c r="A477" s="24"/>
      <x:c r="B477" s="24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16"/>
      <x:c r="V477" s="16"/>
      <x:c r="W477" s="16"/>
      <x:c r="X477" s="16"/>
      <x:c r="Y477" s="16"/>
      <x:c r="Z477" s="16"/>
      <x:c r="AA477" s="16"/>
      <x:c r="AB477" s="16"/>
      <x:c r="AC477" s="16"/>
      <x:c r="AD477" s="16"/>
    </x:row>
    <x:row r="478">
      <x:c r="A478" s="24"/>
      <x:c r="B478" s="24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16"/>
      <x:c r="V478" s="16"/>
      <x:c r="W478" s="16"/>
      <x:c r="X478" s="16"/>
      <x:c r="Y478" s="16"/>
      <x:c r="Z478" s="16"/>
      <x:c r="AA478" s="16"/>
      <x:c r="AB478" s="16"/>
      <x:c r="AC478" s="16"/>
      <x:c r="AD478" s="16"/>
    </x:row>
    <x:row r="479">
      <x:c r="A479" s="24"/>
      <x:c r="B479" s="24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16"/>
      <x:c r="V479" s="16"/>
      <x:c r="W479" s="16"/>
      <x:c r="X479" s="16"/>
      <x:c r="Y479" s="16"/>
      <x:c r="Z479" s="16"/>
      <x:c r="AA479" s="16"/>
      <x:c r="AB479" s="16"/>
      <x:c r="AC479" s="16"/>
      <x:c r="AD479" s="16"/>
    </x:row>
    <x:row r="480">
      <x:c r="A480" s="24"/>
      <x:c r="B480" s="24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16"/>
      <x:c r="V480" s="16"/>
      <x:c r="W480" s="16"/>
      <x:c r="X480" s="16"/>
      <x:c r="Y480" s="16"/>
      <x:c r="Z480" s="16"/>
      <x:c r="AA480" s="16"/>
      <x:c r="AB480" s="16"/>
      <x:c r="AC480" s="16"/>
      <x:c r="AD480" s="16"/>
    </x:row>
    <x:row r="481">
      <x:c r="A481" s="24"/>
      <x:c r="B481" s="24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16"/>
      <x:c r="V481" s="16"/>
      <x:c r="W481" s="16"/>
      <x:c r="X481" s="16"/>
      <x:c r="Y481" s="16"/>
      <x:c r="Z481" s="16"/>
      <x:c r="AA481" s="16"/>
      <x:c r="AB481" s="16"/>
      <x:c r="AC481" s="16"/>
      <x:c r="AD481" s="16"/>
    </x:row>
    <x:row r="482">
      <x:c r="A482" s="24"/>
      <x:c r="B482" s="24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16"/>
      <x:c r="V482" s="16"/>
      <x:c r="W482" s="16"/>
      <x:c r="X482" s="16"/>
      <x:c r="Y482" s="16"/>
      <x:c r="Z482" s="16"/>
      <x:c r="AA482" s="16"/>
      <x:c r="AB482" s="16"/>
      <x:c r="AC482" s="16"/>
      <x:c r="AD482" s="16"/>
    </x:row>
    <x:row r="483">
      <x:c r="A483" s="24"/>
      <x:c r="B483" s="24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16"/>
      <x:c r="V483" s="16"/>
      <x:c r="W483" s="16"/>
      <x:c r="X483" s="16"/>
      <x:c r="Y483" s="16"/>
      <x:c r="Z483" s="16"/>
      <x:c r="AA483" s="16"/>
      <x:c r="AB483" s="16"/>
      <x:c r="AC483" s="16"/>
      <x:c r="AD483" s="16"/>
    </x:row>
    <x:row r="484">
      <x:c r="A484" s="24"/>
      <x:c r="B484" s="24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16"/>
      <x:c r="V484" s="16"/>
      <x:c r="W484" s="16"/>
      <x:c r="X484" s="16"/>
      <x:c r="Y484" s="16"/>
      <x:c r="Z484" s="16"/>
      <x:c r="AA484" s="16"/>
      <x:c r="AB484" s="16"/>
      <x:c r="AC484" s="16"/>
      <x:c r="AD484" s="16"/>
    </x:row>
    <x:row r="485">
      <x:c r="A485" s="24"/>
      <x:c r="B485" s="24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16"/>
      <x:c r="V485" s="16"/>
      <x:c r="W485" s="16"/>
      <x:c r="X485" s="16"/>
      <x:c r="Y485" s="16"/>
      <x:c r="Z485" s="16"/>
      <x:c r="AA485" s="16"/>
      <x:c r="AB485" s="16"/>
      <x:c r="AC485" s="16"/>
      <x:c r="AD485" s="16"/>
    </x:row>
    <x:row r="486">
      <x:c r="A486" s="24"/>
      <x:c r="B486" s="24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16"/>
      <x:c r="V486" s="16"/>
      <x:c r="W486" s="16"/>
      <x:c r="X486" s="16"/>
      <x:c r="Y486" s="16"/>
      <x:c r="Z486" s="16"/>
      <x:c r="AA486" s="16"/>
      <x:c r="AB486" s="16"/>
      <x:c r="AC486" s="16"/>
      <x:c r="AD486" s="16"/>
    </x:row>
    <x:row r="487">
      <x:c r="A487" s="24"/>
      <x:c r="B487" s="24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16"/>
      <x:c r="V487" s="16"/>
      <x:c r="W487" s="16"/>
      <x:c r="X487" s="16"/>
      <x:c r="Y487" s="16"/>
      <x:c r="Z487" s="16"/>
      <x:c r="AA487" s="16"/>
      <x:c r="AB487" s="16"/>
      <x:c r="AC487" s="16"/>
      <x:c r="AD487" s="16"/>
    </x:row>
    <x:row r="488">
      <x:c r="A488" s="24"/>
      <x:c r="B488" s="24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16"/>
      <x:c r="V488" s="16"/>
      <x:c r="W488" s="16"/>
      <x:c r="X488" s="16"/>
      <x:c r="Y488" s="16"/>
      <x:c r="Z488" s="16"/>
      <x:c r="AA488" s="16"/>
      <x:c r="AB488" s="16"/>
      <x:c r="AC488" s="16"/>
      <x:c r="AD488" s="16"/>
    </x:row>
    <x:row r="489">
      <x:c r="A489" s="24"/>
      <x:c r="B489" s="24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16"/>
      <x:c r="V489" s="16"/>
      <x:c r="W489" s="16"/>
      <x:c r="X489" s="16"/>
      <x:c r="Y489" s="16"/>
      <x:c r="Z489" s="16"/>
      <x:c r="AA489" s="16"/>
      <x:c r="AB489" s="16"/>
      <x:c r="AC489" s="16"/>
      <x:c r="AD489" s="16"/>
    </x:row>
    <x:row r="490">
      <x:c r="A490" s="24"/>
      <x:c r="B490" s="24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16"/>
      <x:c r="V490" s="16"/>
      <x:c r="W490" s="16"/>
      <x:c r="X490" s="16"/>
      <x:c r="Y490" s="16"/>
      <x:c r="Z490" s="16"/>
      <x:c r="AA490" s="16"/>
      <x:c r="AB490" s="16"/>
      <x:c r="AC490" s="16"/>
      <x:c r="AD490" s="16"/>
    </x:row>
    <x:row r="491">
      <x:c r="A491" s="24"/>
      <x:c r="B491" s="24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16"/>
      <x:c r="V491" s="16"/>
      <x:c r="W491" s="16"/>
      <x:c r="X491" s="16"/>
      <x:c r="Y491" s="16"/>
      <x:c r="Z491" s="16"/>
      <x:c r="AA491" s="16"/>
      <x:c r="AB491" s="16"/>
      <x:c r="AC491" s="16"/>
      <x:c r="AD491" s="16"/>
    </x:row>
    <x:row r="492">
      <x:c r="A492" s="24"/>
      <x:c r="B492" s="24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16"/>
      <x:c r="V492" s="16"/>
      <x:c r="W492" s="16"/>
      <x:c r="X492" s="16"/>
      <x:c r="Y492" s="16"/>
      <x:c r="Z492" s="16"/>
      <x:c r="AA492" s="16"/>
      <x:c r="AB492" s="16"/>
      <x:c r="AC492" s="16"/>
      <x:c r="AD492" s="16"/>
    </x:row>
    <x:row r="493">
      <x:c r="A493" s="24"/>
      <x:c r="B493" s="24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16"/>
      <x:c r="V493" s="16"/>
      <x:c r="W493" s="16"/>
      <x:c r="X493" s="16"/>
      <x:c r="Y493" s="16"/>
      <x:c r="Z493" s="16"/>
      <x:c r="AA493" s="16"/>
      <x:c r="AB493" s="16"/>
      <x:c r="AC493" s="16"/>
      <x:c r="AD493" s="16"/>
    </x:row>
    <x:row r="494">
      <x:c r="A494" s="24"/>
      <x:c r="B494" s="24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16"/>
      <x:c r="V494" s="16"/>
      <x:c r="W494" s="16"/>
      <x:c r="X494" s="16"/>
      <x:c r="Y494" s="16"/>
      <x:c r="Z494" s="16"/>
      <x:c r="AA494" s="16"/>
      <x:c r="AB494" s="16"/>
      <x:c r="AC494" s="16"/>
      <x:c r="AD494" s="16"/>
    </x:row>
    <x:row r="495">
      <x:c r="A495" s="24"/>
      <x:c r="B495" s="24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16"/>
      <x:c r="V495" s="16"/>
      <x:c r="W495" s="16"/>
      <x:c r="X495" s="16"/>
      <x:c r="Y495" s="16"/>
      <x:c r="Z495" s="16"/>
      <x:c r="AA495" s="16"/>
      <x:c r="AB495" s="16"/>
      <x:c r="AC495" s="16"/>
      <x:c r="AD495" s="16"/>
    </x:row>
    <x:row r="496">
      <x:c r="A496" s="24"/>
      <x:c r="B496" s="24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16"/>
      <x:c r="V496" s="16"/>
      <x:c r="W496" s="16"/>
      <x:c r="X496" s="16"/>
      <x:c r="Y496" s="16"/>
      <x:c r="Z496" s="16"/>
      <x:c r="AA496" s="16"/>
      <x:c r="AB496" s="16"/>
      <x:c r="AC496" s="16"/>
      <x:c r="AD496" s="16"/>
    </x:row>
    <x:row r="497">
      <x:c r="A497" s="24"/>
      <x:c r="B497" s="24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16"/>
      <x:c r="V497" s="16"/>
      <x:c r="W497" s="16"/>
      <x:c r="X497" s="16"/>
      <x:c r="Y497" s="16"/>
      <x:c r="Z497" s="16"/>
      <x:c r="AA497" s="16"/>
      <x:c r="AB497" s="16"/>
      <x:c r="AC497" s="16"/>
      <x:c r="AD497" s="16"/>
    </x:row>
    <x:row r="498">
      <x:c r="A498" s="24"/>
      <x:c r="B498" s="24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16"/>
      <x:c r="V498" s="16"/>
      <x:c r="W498" s="16"/>
      <x:c r="X498" s="16"/>
      <x:c r="Y498" s="16"/>
      <x:c r="Z498" s="16"/>
      <x:c r="AA498" s="16"/>
      <x:c r="AB498" s="16"/>
      <x:c r="AC498" s="16"/>
      <x:c r="AD498" s="16"/>
    </x:row>
    <x:row r="499">
      <x:c r="A499" s="24"/>
      <x:c r="B499" s="24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16"/>
      <x:c r="V499" s="16"/>
      <x:c r="W499" s="16"/>
      <x:c r="X499" s="16"/>
      <x:c r="Y499" s="16"/>
      <x:c r="Z499" s="16"/>
      <x:c r="AA499" s="16"/>
      <x:c r="AB499" s="16"/>
      <x:c r="AC499" s="16"/>
      <x:c r="AD499" s="16"/>
    </x:row>
    <x:row r="500">
      <x:c r="A500" s="24"/>
      <x:c r="B500" s="24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16"/>
      <x:c r="V500" s="16"/>
      <x:c r="W500" s="16"/>
      <x:c r="X500" s="16"/>
      <x:c r="Y500" s="16"/>
      <x:c r="Z500" s="16"/>
      <x:c r="AA500" s="16"/>
      <x:c r="AB500" s="16"/>
      <x:c r="AC500" s="16"/>
      <x:c r="AD500" s="16"/>
    </x:row>
    <x:row r="501">
      <x:c r="A501" s="24"/>
      <x:c r="B501" s="24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16"/>
      <x:c r="V501" s="16"/>
      <x:c r="W501" s="16"/>
      <x:c r="X501" s="16"/>
      <x:c r="Y501" s="16"/>
      <x:c r="Z501" s="16"/>
      <x:c r="AA501" s="16"/>
      <x:c r="AB501" s="16"/>
      <x:c r="AC501" s="16"/>
      <x:c r="AD501" s="16"/>
    </x:row>
    <x:row r="502">
      <x:c r="A502" s="24"/>
      <x:c r="B502" s="24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16"/>
      <x:c r="V502" s="16"/>
      <x:c r="W502" s="16"/>
      <x:c r="X502" s="16"/>
      <x:c r="Y502" s="16"/>
      <x:c r="Z502" s="16"/>
      <x:c r="AA502" s="16"/>
      <x:c r="AB502" s="16"/>
      <x:c r="AC502" s="16"/>
      <x:c r="AD502" s="16"/>
    </x:row>
    <x:row r="503">
      <x:c r="A503" s="24"/>
      <x:c r="B503" s="24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16"/>
      <x:c r="V503" s="16"/>
      <x:c r="W503" s="16"/>
      <x:c r="X503" s="16"/>
      <x:c r="Y503" s="16"/>
      <x:c r="Z503" s="16"/>
      <x:c r="AA503" s="16"/>
      <x:c r="AB503" s="16"/>
      <x:c r="AC503" s="16"/>
      <x:c r="AD503" s="16"/>
    </x:row>
    <x:row r="504">
      <x:c r="A504" s="24"/>
      <x:c r="B504" s="24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16"/>
      <x:c r="V504" s="16"/>
      <x:c r="W504" s="16"/>
      <x:c r="X504" s="16"/>
      <x:c r="Y504" s="16"/>
      <x:c r="Z504" s="16"/>
      <x:c r="AA504" s="16"/>
      <x:c r="AB504" s="16"/>
      <x:c r="AC504" s="16"/>
      <x:c r="AD504" s="16"/>
    </x:row>
    <x:row r="505">
      <x:c r="A505" s="24"/>
      <x:c r="B505" s="24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16"/>
      <x:c r="V505" s="16"/>
      <x:c r="W505" s="16"/>
      <x:c r="X505" s="16"/>
      <x:c r="Y505" s="16"/>
      <x:c r="Z505" s="16"/>
      <x:c r="AA505" s="16"/>
      <x:c r="AB505" s="16"/>
      <x:c r="AC505" s="16"/>
      <x:c r="AD505" s="16"/>
    </x:row>
    <x:row r="506">
      <x:c r="A506" s="24"/>
      <x:c r="B506" s="24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16"/>
      <x:c r="V506" s="16"/>
      <x:c r="W506" s="16"/>
      <x:c r="X506" s="16"/>
      <x:c r="Y506" s="16"/>
      <x:c r="Z506" s="16"/>
      <x:c r="AA506" s="16"/>
      <x:c r="AB506" s="16"/>
      <x:c r="AC506" s="16"/>
      <x:c r="AD506" s="16"/>
    </x:row>
    <x:row r="507">
      <x:c r="A507" s="24"/>
      <x:c r="B507" s="24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16"/>
      <x:c r="V507" s="16"/>
      <x:c r="W507" s="16"/>
      <x:c r="X507" s="16"/>
      <x:c r="Y507" s="16"/>
      <x:c r="Z507" s="16"/>
      <x:c r="AA507" s="16"/>
      <x:c r="AB507" s="16"/>
      <x:c r="AC507" s="16"/>
      <x:c r="AD507" s="16"/>
    </x:row>
    <x:row r="508">
      <x:c r="A508" s="24"/>
      <x:c r="B508" s="24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16"/>
      <x:c r="V508" s="16"/>
      <x:c r="W508" s="16"/>
      <x:c r="X508" s="16"/>
      <x:c r="Y508" s="16"/>
      <x:c r="Z508" s="16"/>
      <x:c r="AA508" s="16"/>
      <x:c r="AB508" s="16"/>
      <x:c r="AC508" s="16"/>
      <x:c r="AD508" s="16"/>
    </x:row>
    <x:row r="509">
      <x:c r="A509" s="24"/>
      <x:c r="B509" s="24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16"/>
      <x:c r="V509" s="16"/>
      <x:c r="W509" s="16"/>
      <x:c r="X509" s="16"/>
      <x:c r="Y509" s="16"/>
      <x:c r="Z509" s="16"/>
      <x:c r="AA509" s="16"/>
      <x:c r="AB509" s="16"/>
      <x:c r="AC509" s="16"/>
      <x:c r="AD509" s="16"/>
    </x:row>
    <x:row r="510">
      <x:c r="A510" s="24"/>
      <x:c r="B510" s="24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16"/>
      <x:c r="V510" s="16"/>
      <x:c r="W510" s="16"/>
      <x:c r="X510" s="16"/>
      <x:c r="Y510" s="16"/>
      <x:c r="Z510" s="16"/>
      <x:c r="AA510" s="16"/>
      <x:c r="AB510" s="16"/>
      <x:c r="AC510" s="16"/>
      <x:c r="AD510" s="16"/>
    </x:row>
    <x:row r="511">
      <x:c r="A511" s="24"/>
      <x:c r="B511" s="24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16"/>
      <x:c r="V511" s="16"/>
      <x:c r="W511" s="16"/>
      <x:c r="X511" s="16"/>
      <x:c r="Y511" s="16"/>
      <x:c r="Z511" s="16"/>
      <x:c r="AA511" s="16"/>
      <x:c r="AB511" s="16"/>
      <x:c r="AC511" s="16"/>
      <x:c r="AD511" s="16"/>
    </x:row>
    <x:row r="512">
      <x:c r="A512" s="24"/>
      <x:c r="B512" s="24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16"/>
      <x:c r="V512" s="16"/>
      <x:c r="W512" s="16"/>
      <x:c r="X512" s="16"/>
      <x:c r="Y512" s="16"/>
      <x:c r="Z512" s="16"/>
      <x:c r="AA512" s="16"/>
      <x:c r="AB512" s="16"/>
      <x:c r="AC512" s="16"/>
      <x:c r="AD512" s="16"/>
    </x:row>
    <x:row r="513">
      <x:c r="A513" s="24"/>
      <x:c r="B513" s="24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16"/>
      <x:c r="V513" s="16"/>
      <x:c r="W513" s="16"/>
      <x:c r="X513" s="16"/>
      <x:c r="Y513" s="16"/>
      <x:c r="Z513" s="16"/>
      <x:c r="AA513" s="16"/>
      <x:c r="AB513" s="16"/>
      <x:c r="AC513" s="16"/>
      <x:c r="AD513" s="16"/>
    </x:row>
    <x:row r="514">
      <x:c r="A514" s="24"/>
      <x:c r="B514" s="24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16"/>
      <x:c r="V514" s="16"/>
      <x:c r="W514" s="16"/>
      <x:c r="X514" s="16"/>
      <x:c r="Y514" s="16"/>
      <x:c r="Z514" s="16"/>
      <x:c r="AA514" s="16"/>
      <x:c r="AB514" s="16"/>
      <x:c r="AC514" s="16"/>
      <x:c r="AD514" s="16"/>
    </x:row>
    <x:row r="515">
      <x:c r="A515" s="24"/>
      <x:c r="B515" s="24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16"/>
      <x:c r="V515" s="16"/>
      <x:c r="W515" s="16"/>
      <x:c r="X515" s="16"/>
      <x:c r="Y515" s="16"/>
      <x:c r="Z515" s="16"/>
      <x:c r="AA515" s="16"/>
      <x:c r="AB515" s="16"/>
      <x:c r="AC515" s="16"/>
      <x:c r="AD515" s="16"/>
    </x:row>
    <x:row r="516">
      <x:c r="A516" s="24"/>
      <x:c r="B516" s="24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16"/>
      <x:c r="V516" s="16"/>
      <x:c r="W516" s="16"/>
      <x:c r="X516" s="16"/>
      <x:c r="Y516" s="16"/>
      <x:c r="Z516" s="16"/>
      <x:c r="AA516" s="16"/>
      <x:c r="AB516" s="16"/>
      <x:c r="AC516" s="16"/>
      <x:c r="AD516" s="16"/>
    </x:row>
    <x:row r="517">
      <x:c r="A517" s="24"/>
      <x:c r="B517" s="24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16"/>
      <x:c r="V517" s="16"/>
      <x:c r="W517" s="16"/>
      <x:c r="X517" s="16"/>
      <x:c r="Y517" s="16"/>
      <x:c r="Z517" s="16"/>
      <x:c r="AA517" s="16"/>
      <x:c r="AB517" s="16"/>
      <x:c r="AC517" s="16"/>
      <x:c r="AD517" s="16"/>
    </x:row>
    <x:row r="518">
      <x:c r="A518" s="24"/>
      <x:c r="B518" s="24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16"/>
      <x:c r="V518" s="16"/>
      <x:c r="W518" s="16"/>
      <x:c r="X518" s="16"/>
      <x:c r="Y518" s="16"/>
      <x:c r="Z518" s="16"/>
      <x:c r="AA518" s="16"/>
      <x:c r="AB518" s="16"/>
      <x:c r="AC518" s="16"/>
      <x:c r="AD518" s="16"/>
    </x:row>
    <x:row r="519">
      <x:c r="A519" s="24"/>
      <x:c r="B519" s="24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16"/>
      <x:c r="V519" s="16"/>
      <x:c r="W519" s="16"/>
      <x:c r="X519" s="16"/>
      <x:c r="Y519" s="16"/>
      <x:c r="Z519" s="16"/>
      <x:c r="AA519" s="16"/>
      <x:c r="AB519" s="16"/>
      <x:c r="AC519" s="16"/>
      <x:c r="AD519" s="16"/>
    </x:row>
    <x:row r="520">
      <x:c r="A520" s="24"/>
      <x:c r="B520" s="24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16"/>
      <x:c r="V520" s="16"/>
      <x:c r="W520" s="16"/>
      <x:c r="X520" s="16"/>
      <x:c r="Y520" s="16"/>
      <x:c r="Z520" s="16"/>
      <x:c r="AA520" s="16"/>
      <x:c r="AB520" s="16"/>
      <x:c r="AC520" s="16"/>
      <x:c r="AD520" s="16"/>
    </x:row>
    <x:row r="521">
      <x:c r="A521" s="24"/>
      <x:c r="B521" s="24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16"/>
      <x:c r="V521" s="16"/>
      <x:c r="W521" s="16"/>
      <x:c r="X521" s="16"/>
      <x:c r="Y521" s="16"/>
      <x:c r="Z521" s="16"/>
      <x:c r="AA521" s="16"/>
      <x:c r="AB521" s="16"/>
      <x:c r="AC521" s="16"/>
      <x:c r="AD521" s="16"/>
    </x:row>
    <x:row r="522">
      <x:c r="A522" s="24"/>
      <x:c r="B522" s="24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16"/>
      <x:c r="V522" s="16"/>
      <x:c r="W522" s="16"/>
      <x:c r="X522" s="16"/>
      <x:c r="Y522" s="16"/>
      <x:c r="Z522" s="16"/>
      <x:c r="AA522" s="16"/>
      <x:c r="AB522" s="16"/>
      <x:c r="AC522" s="16"/>
      <x:c r="AD522" s="16"/>
    </x:row>
    <x:row r="523">
      <x:c r="A523" s="24"/>
      <x:c r="B523" s="24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16"/>
      <x:c r="V523" s="16"/>
      <x:c r="W523" s="16"/>
      <x:c r="X523" s="16"/>
      <x:c r="Y523" s="16"/>
      <x:c r="Z523" s="16"/>
      <x:c r="AA523" s="16"/>
      <x:c r="AB523" s="16"/>
      <x:c r="AC523" s="16"/>
      <x:c r="AD523" s="16"/>
    </x:row>
    <x:row r="524">
      <x:c r="A524" s="24"/>
      <x:c r="B524" s="24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16"/>
      <x:c r="V524" s="16"/>
      <x:c r="W524" s="16"/>
      <x:c r="X524" s="16"/>
      <x:c r="Y524" s="16"/>
      <x:c r="Z524" s="16"/>
      <x:c r="AA524" s="16"/>
      <x:c r="AB524" s="16"/>
      <x:c r="AC524" s="16"/>
      <x:c r="AD524" s="16"/>
    </x:row>
    <x:row r="525">
      <x:c r="A525" s="24"/>
      <x:c r="B525" s="24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16"/>
      <x:c r="V525" s="16"/>
      <x:c r="W525" s="16"/>
      <x:c r="X525" s="16"/>
      <x:c r="Y525" s="16"/>
      <x:c r="Z525" s="16"/>
      <x:c r="AA525" s="16"/>
      <x:c r="AB525" s="16"/>
      <x:c r="AC525" s="16"/>
      <x:c r="AD525" s="16"/>
    </x:row>
    <x:row r="526">
      <x:c r="A526" s="24"/>
      <x:c r="B526" s="24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16"/>
      <x:c r="V526" s="16"/>
      <x:c r="W526" s="16"/>
      <x:c r="X526" s="16"/>
      <x:c r="Y526" s="16"/>
      <x:c r="Z526" s="16"/>
      <x:c r="AA526" s="16"/>
      <x:c r="AB526" s="16"/>
      <x:c r="AC526" s="16"/>
      <x:c r="AD526" s="16"/>
    </x:row>
    <x:row r="527">
      <x:c r="A527" s="24"/>
      <x:c r="B527" s="24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16"/>
      <x:c r="V527" s="16"/>
      <x:c r="W527" s="16"/>
      <x:c r="X527" s="16"/>
      <x:c r="Y527" s="16"/>
      <x:c r="Z527" s="16"/>
      <x:c r="AA527" s="16"/>
      <x:c r="AB527" s="16"/>
      <x:c r="AC527" s="16"/>
      <x:c r="AD527" s="16"/>
    </x:row>
    <x:row r="528">
      <x:c r="A528" s="24"/>
      <x:c r="B528" s="24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16"/>
      <x:c r="V528" s="16"/>
      <x:c r="W528" s="16"/>
      <x:c r="X528" s="16"/>
      <x:c r="Y528" s="16"/>
      <x:c r="Z528" s="16"/>
      <x:c r="AA528" s="16"/>
      <x:c r="AB528" s="16"/>
      <x:c r="AC528" s="16"/>
      <x:c r="AD528" s="16"/>
    </x:row>
    <x:row r="529">
      <x:c r="A529" s="24"/>
      <x:c r="B529" s="24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16"/>
      <x:c r="V529" s="16"/>
      <x:c r="W529" s="16"/>
      <x:c r="X529" s="16"/>
      <x:c r="Y529" s="16"/>
      <x:c r="Z529" s="16"/>
      <x:c r="AA529" s="16"/>
      <x:c r="AB529" s="16"/>
      <x:c r="AC529" s="16"/>
      <x:c r="AD529" s="16"/>
    </x:row>
    <x:row r="530">
      <x:c r="A530" s="24"/>
      <x:c r="B530" s="24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16"/>
      <x:c r="V530" s="16"/>
      <x:c r="W530" s="16"/>
      <x:c r="X530" s="16"/>
      <x:c r="Y530" s="16"/>
      <x:c r="Z530" s="16"/>
      <x:c r="AA530" s="16"/>
      <x:c r="AB530" s="16"/>
      <x:c r="AC530" s="16"/>
      <x:c r="AD530" s="16"/>
    </x:row>
    <x:row r="531">
      <x:c r="A531" s="24"/>
      <x:c r="B531" s="24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16"/>
      <x:c r="V531" s="16"/>
      <x:c r="W531" s="16"/>
      <x:c r="X531" s="16"/>
      <x:c r="Y531" s="16"/>
      <x:c r="Z531" s="16"/>
      <x:c r="AA531" s="16"/>
      <x:c r="AB531" s="16"/>
      <x:c r="AC531" s="16"/>
      <x:c r="AD531" s="16"/>
    </x:row>
    <x:row r="532">
      <x:c r="A532" s="24"/>
      <x:c r="B532" s="24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16"/>
      <x:c r="V532" s="16"/>
      <x:c r="W532" s="16"/>
      <x:c r="X532" s="16"/>
      <x:c r="Y532" s="16"/>
      <x:c r="Z532" s="16"/>
      <x:c r="AA532" s="16"/>
      <x:c r="AB532" s="16"/>
      <x:c r="AC532" s="16"/>
      <x:c r="AD532" s="16"/>
    </x:row>
    <x:row r="533">
      <x:c r="A533" s="24"/>
      <x:c r="B533" s="24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16"/>
      <x:c r="V533" s="16"/>
      <x:c r="W533" s="16"/>
      <x:c r="X533" s="16"/>
      <x:c r="Y533" s="16"/>
      <x:c r="Z533" s="16"/>
      <x:c r="AA533" s="16"/>
      <x:c r="AB533" s="16"/>
      <x:c r="AC533" s="16"/>
      <x:c r="AD533" s="16"/>
    </x:row>
    <x:row r="534">
      <x:c r="A534" s="24"/>
      <x:c r="B534" s="24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16"/>
      <x:c r="V534" s="16"/>
      <x:c r="W534" s="16"/>
      <x:c r="X534" s="16"/>
      <x:c r="Y534" s="16"/>
      <x:c r="Z534" s="16"/>
      <x:c r="AA534" s="16"/>
      <x:c r="AB534" s="16"/>
      <x:c r="AC534" s="16"/>
      <x:c r="AD534" s="16"/>
    </x:row>
    <x:row r="535">
      <x:c r="A535" s="24"/>
      <x:c r="B535" s="24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16"/>
      <x:c r="V535" s="16"/>
      <x:c r="W535" s="16"/>
      <x:c r="X535" s="16"/>
      <x:c r="Y535" s="16"/>
      <x:c r="Z535" s="16"/>
      <x:c r="AA535" s="16"/>
      <x:c r="AB535" s="16"/>
      <x:c r="AC535" s="16"/>
      <x:c r="AD535" s="16"/>
    </x:row>
    <x:row r="536">
      <x:c r="A536" s="24"/>
      <x:c r="B536" s="24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16"/>
      <x:c r="V536" s="16"/>
      <x:c r="W536" s="16"/>
      <x:c r="X536" s="16"/>
      <x:c r="Y536" s="16"/>
      <x:c r="Z536" s="16"/>
      <x:c r="AA536" s="16"/>
      <x:c r="AB536" s="16"/>
      <x:c r="AC536" s="16"/>
      <x:c r="AD536" s="16"/>
    </x:row>
    <x:row r="537">
      <x:c r="A537" s="24"/>
      <x:c r="B537" s="24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16"/>
      <x:c r="V537" s="16"/>
      <x:c r="W537" s="16"/>
      <x:c r="X537" s="16"/>
      <x:c r="Y537" s="16"/>
      <x:c r="Z537" s="16"/>
      <x:c r="AA537" s="16"/>
      <x:c r="AB537" s="16"/>
      <x:c r="AC537" s="16"/>
      <x:c r="AD537" s="16"/>
    </x:row>
    <x:row r="538">
      <x:c r="A538" s="24"/>
      <x:c r="B538" s="24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16"/>
      <x:c r="V538" s="16"/>
      <x:c r="W538" s="16"/>
      <x:c r="X538" s="16"/>
      <x:c r="Y538" s="16"/>
      <x:c r="Z538" s="16"/>
      <x:c r="AA538" s="16"/>
      <x:c r="AB538" s="16"/>
      <x:c r="AC538" s="16"/>
      <x:c r="AD538" s="16"/>
    </x:row>
    <x:row r="539">
      <x:c r="A539" s="24"/>
      <x:c r="B539" s="24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16"/>
      <x:c r="V539" s="16"/>
      <x:c r="W539" s="16"/>
      <x:c r="X539" s="16"/>
      <x:c r="Y539" s="16"/>
      <x:c r="Z539" s="16"/>
      <x:c r="AA539" s="16"/>
      <x:c r="AB539" s="16"/>
      <x:c r="AC539" s="16"/>
      <x:c r="AD539" s="16"/>
    </x:row>
    <x:row r="540">
      <x:c r="A540" s="24"/>
      <x:c r="B540" s="24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16"/>
      <x:c r="V540" s="16"/>
      <x:c r="W540" s="16"/>
      <x:c r="X540" s="16"/>
      <x:c r="Y540" s="16"/>
      <x:c r="Z540" s="16"/>
      <x:c r="AA540" s="16"/>
      <x:c r="AB540" s="16"/>
      <x:c r="AC540" s="16"/>
      <x:c r="AD540" s="16"/>
    </x:row>
    <x:row r="541">
      <x:c r="A541" s="24"/>
      <x:c r="B541" s="24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16"/>
      <x:c r="V541" s="16"/>
      <x:c r="W541" s="16"/>
      <x:c r="X541" s="16"/>
      <x:c r="Y541" s="16"/>
      <x:c r="Z541" s="16"/>
      <x:c r="AA541" s="16"/>
      <x:c r="AB541" s="16"/>
      <x:c r="AC541" s="16"/>
      <x:c r="AD541" s="16"/>
    </x:row>
    <x:row r="542">
      <x:c r="A542" s="24"/>
      <x:c r="B542" s="24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16"/>
      <x:c r="V542" s="16"/>
      <x:c r="W542" s="16"/>
      <x:c r="X542" s="16"/>
      <x:c r="Y542" s="16"/>
      <x:c r="Z542" s="16"/>
      <x:c r="AA542" s="16"/>
      <x:c r="AB542" s="16"/>
      <x:c r="AC542" s="16"/>
      <x:c r="AD542" s="16"/>
    </x:row>
    <x:row r="543">
      <x:c r="A543" s="24"/>
      <x:c r="B543" s="24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16"/>
      <x:c r="V543" s="16"/>
      <x:c r="W543" s="16"/>
      <x:c r="X543" s="16"/>
      <x:c r="Y543" s="16"/>
      <x:c r="Z543" s="16"/>
      <x:c r="AA543" s="16"/>
      <x:c r="AB543" s="16"/>
      <x:c r="AC543" s="16"/>
      <x:c r="AD543" s="16"/>
    </x:row>
    <x:row r="544">
      <x:c r="A544" s="24"/>
      <x:c r="B544" s="24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16"/>
      <x:c r="V544" s="16"/>
      <x:c r="W544" s="16"/>
      <x:c r="X544" s="16"/>
      <x:c r="Y544" s="16"/>
      <x:c r="Z544" s="16"/>
      <x:c r="AA544" s="16"/>
      <x:c r="AB544" s="16"/>
      <x:c r="AC544" s="16"/>
      <x:c r="AD544" s="16"/>
    </x:row>
    <x:row r="545">
      <x:c r="A545" s="24"/>
      <x:c r="B545" s="24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16"/>
      <x:c r="V545" s="16"/>
      <x:c r="W545" s="16"/>
      <x:c r="X545" s="16"/>
      <x:c r="Y545" s="16"/>
      <x:c r="Z545" s="16"/>
      <x:c r="AA545" s="16"/>
      <x:c r="AB545" s="16"/>
      <x:c r="AC545" s="16"/>
      <x:c r="AD545" s="16"/>
    </x:row>
    <x:row r="546">
      <x:c r="A546" s="24"/>
      <x:c r="B546" s="24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16"/>
      <x:c r="V546" s="16"/>
      <x:c r="W546" s="16"/>
      <x:c r="X546" s="16"/>
      <x:c r="Y546" s="16"/>
      <x:c r="Z546" s="16"/>
      <x:c r="AA546" s="16"/>
      <x:c r="AB546" s="16"/>
      <x:c r="AC546" s="16"/>
      <x:c r="AD546" s="16"/>
    </x:row>
    <x:row r="547">
      <x:c r="A547" s="24"/>
      <x:c r="B547" s="24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16"/>
      <x:c r="V547" s="16"/>
      <x:c r="W547" s="16"/>
      <x:c r="X547" s="16"/>
      <x:c r="Y547" s="16"/>
      <x:c r="Z547" s="16"/>
      <x:c r="AA547" s="16"/>
      <x:c r="AB547" s="16"/>
      <x:c r="AC547" s="16"/>
      <x:c r="AD547" s="16"/>
    </x:row>
    <x:row r="548">
      <x:c r="A548" s="24"/>
      <x:c r="B548" s="24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16"/>
      <x:c r="V548" s="16"/>
      <x:c r="W548" s="16"/>
      <x:c r="X548" s="16"/>
      <x:c r="Y548" s="16"/>
      <x:c r="Z548" s="16"/>
      <x:c r="AA548" s="16"/>
      <x:c r="AB548" s="16"/>
      <x:c r="AC548" s="16"/>
      <x:c r="AD548" s="16"/>
    </x:row>
    <x:row r="549">
      <x:c r="A549" s="24"/>
      <x:c r="B549" s="24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16"/>
      <x:c r="V549" s="16"/>
      <x:c r="W549" s="16"/>
      <x:c r="X549" s="16"/>
      <x:c r="Y549" s="16"/>
      <x:c r="Z549" s="16"/>
      <x:c r="AA549" s="16"/>
      <x:c r="AB549" s="16"/>
      <x:c r="AC549" s="16"/>
      <x:c r="AD549" s="16"/>
    </x:row>
    <x:row r="550">
      <x:c r="A550" s="24"/>
      <x:c r="B550" s="24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16"/>
      <x:c r="V550" s="16"/>
      <x:c r="W550" s="16"/>
      <x:c r="X550" s="16"/>
      <x:c r="Y550" s="16"/>
      <x:c r="Z550" s="16"/>
      <x:c r="AA550" s="16"/>
      <x:c r="AB550" s="16"/>
      <x:c r="AC550" s="16"/>
      <x:c r="AD550" s="16"/>
    </x:row>
    <x:row r="551">
      <x:c r="A551" s="24"/>
      <x:c r="B551" s="24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16"/>
      <x:c r="V551" s="16"/>
      <x:c r="W551" s="16"/>
      <x:c r="X551" s="16"/>
      <x:c r="Y551" s="16"/>
      <x:c r="Z551" s="16"/>
      <x:c r="AA551" s="16"/>
      <x:c r="AB551" s="16"/>
      <x:c r="AC551" s="16"/>
      <x:c r="AD551" s="16"/>
    </x:row>
    <x:row r="552">
      <x:c r="A552" s="24"/>
      <x:c r="B552" s="24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16"/>
      <x:c r="V552" s="16"/>
      <x:c r="W552" s="16"/>
      <x:c r="X552" s="16"/>
      <x:c r="Y552" s="16"/>
      <x:c r="Z552" s="16"/>
      <x:c r="AA552" s="16"/>
      <x:c r="AB552" s="16"/>
      <x:c r="AC552" s="16"/>
      <x:c r="AD552" s="16"/>
    </x:row>
    <x:row r="553">
      <x:c r="A553" s="24"/>
      <x:c r="B553" s="24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16"/>
      <x:c r="V553" s="16"/>
      <x:c r="W553" s="16"/>
      <x:c r="X553" s="16"/>
      <x:c r="Y553" s="16"/>
      <x:c r="Z553" s="16"/>
      <x:c r="AA553" s="16"/>
      <x:c r="AB553" s="16"/>
      <x:c r="AC553" s="16"/>
      <x:c r="AD553" s="16"/>
    </x:row>
    <x:row r="554">
      <x:c r="A554" s="24"/>
      <x:c r="B554" s="24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16"/>
      <x:c r="V554" s="16"/>
      <x:c r="W554" s="16"/>
      <x:c r="X554" s="16"/>
      <x:c r="Y554" s="16"/>
      <x:c r="Z554" s="16"/>
      <x:c r="AA554" s="16"/>
      <x:c r="AB554" s="16"/>
      <x:c r="AC554" s="16"/>
      <x:c r="AD554" s="16"/>
    </x:row>
    <x:row r="555">
      <x:c r="A555" s="24"/>
      <x:c r="B555" s="24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16"/>
      <x:c r="V555" s="16"/>
      <x:c r="W555" s="16"/>
      <x:c r="X555" s="16"/>
      <x:c r="Y555" s="16"/>
      <x:c r="Z555" s="16"/>
      <x:c r="AA555" s="16"/>
      <x:c r="AB555" s="16"/>
      <x:c r="AC555" s="16"/>
      <x:c r="AD555" s="16"/>
    </x:row>
    <x:row r="556">
      <x:c r="A556" s="24"/>
      <x:c r="B556" s="24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16"/>
      <x:c r="V556" s="16"/>
      <x:c r="W556" s="16"/>
      <x:c r="X556" s="16"/>
      <x:c r="Y556" s="16"/>
      <x:c r="Z556" s="16"/>
      <x:c r="AA556" s="16"/>
      <x:c r="AB556" s="16"/>
      <x:c r="AC556" s="16"/>
      <x:c r="AD556" s="16"/>
    </x:row>
    <x:row r="557">
      <x:c r="A557" s="24"/>
      <x:c r="B557" s="24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16"/>
      <x:c r="V557" s="16"/>
      <x:c r="W557" s="16"/>
      <x:c r="X557" s="16"/>
      <x:c r="Y557" s="16"/>
      <x:c r="Z557" s="16"/>
      <x:c r="AA557" s="16"/>
      <x:c r="AB557" s="16"/>
      <x:c r="AC557" s="16"/>
      <x:c r="AD557" s="16"/>
    </x:row>
    <x:row r="558">
      <x:c r="A558" s="24"/>
      <x:c r="B558" s="24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16"/>
      <x:c r="V558" s="16"/>
      <x:c r="W558" s="16"/>
      <x:c r="X558" s="16"/>
      <x:c r="Y558" s="16"/>
      <x:c r="Z558" s="16"/>
      <x:c r="AA558" s="16"/>
      <x:c r="AB558" s="16"/>
      <x:c r="AC558" s="16"/>
      <x:c r="AD558" s="16"/>
    </x:row>
    <x:row r="559">
      <x:c r="A559" s="24"/>
      <x:c r="B559" s="24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16"/>
      <x:c r="V559" s="16"/>
      <x:c r="W559" s="16"/>
      <x:c r="X559" s="16"/>
      <x:c r="Y559" s="16"/>
      <x:c r="Z559" s="16"/>
      <x:c r="AA559" s="16"/>
      <x:c r="AB559" s="16"/>
      <x:c r="AC559" s="16"/>
      <x:c r="AD559" s="16"/>
    </x:row>
    <x:row r="560">
      <x:c r="A560" s="24"/>
      <x:c r="B560" s="24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16"/>
      <x:c r="V560" s="16"/>
      <x:c r="W560" s="16"/>
      <x:c r="X560" s="16"/>
      <x:c r="Y560" s="16"/>
      <x:c r="Z560" s="16"/>
      <x:c r="AA560" s="16"/>
      <x:c r="AB560" s="16"/>
      <x:c r="AC560" s="16"/>
      <x:c r="AD560" s="16"/>
    </x:row>
    <x:row r="561">
      <x:c r="A561" s="24"/>
      <x:c r="B561" s="24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16"/>
      <x:c r="V561" s="16"/>
      <x:c r="W561" s="16"/>
      <x:c r="X561" s="16"/>
      <x:c r="Y561" s="16"/>
      <x:c r="Z561" s="16"/>
      <x:c r="AA561" s="16"/>
      <x:c r="AB561" s="16"/>
      <x:c r="AC561" s="16"/>
      <x:c r="AD561" s="16"/>
    </x:row>
    <x:row r="562">
      <x:c r="A562" s="24"/>
      <x:c r="B562" s="24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16"/>
      <x:c r="V562" s="16"/>
      <x:c r="W562" s="16"/>
      <x:c r="X562" s="16"/>
      <x:c r="Y562" s="16"/>
      <x:c r="Z562" s="16"/>
      <x:c r="AA562" s="16"/>
      <x:c r="AB562" s="16"/>
      <x:c r="AC562" s="16"/>
      <x:c r="AD562" s="16"/>
    </x:row>
    <x:row r="563">
      <x:c r="A563" s="24"/>
      <x:c r="B563" s="24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16"/>
      <x:c r="V563" s="16"/>
      <x:c r="W563" s="16"/>
      <x:c r="X563" s="16"/>
      <x:c r="Y563" s="16"/>
      <x:c r="Z563" s="16"/>
      <x:c r="AA563" s="16"/>
      <x:c r="AB563" s="16"/>
      <x:c r="AC563" s="16"/>
      <x:c r="AD563" s="16"/>
    </x:row>
    <x:row r="564">
      <x:c r="A564" s="24"/>
      <x:c r="B564" s="24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16"/>
      <x:c r="V564" s="16"/>
      <x:c r="W564" s="16"/>
      <x:c r="X564" s="16"/>
      <x:c r="Y564" s="16"/>
      <x:c r="Z564" s="16"/>
      <x:c r="AA564" s="16"/>
      <x:c r="AB564" s="16"/>
      <x:c r="AC564" s="16"/>
      <x:c r="AD564" s="16"/>
    </x:row>
    <x:row r="565">
      <x:c r="A565" s="24"/>
      <x:c r="B565" s="24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16"/>
      <x:c r="V565" s="16"/>
      <x:c r="W565" s="16"/>
      <x:c r="X565" s="16"/>
      <x:c r="Y565" s="16"/>
      <x:c r="Z565" s="16"/>
      <x:c r="AA565" s="16"/>
      <x:c r="AB565" s="16"/>
      <x:c r="AC565" s="16"/>
      <x:c r="AD565" s="16"/>
    </x:row>
    <x:row r="566">
      <x:c r="A566" s="24"/>
      <x:c r="B566" s="24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16"/>
      <x:c r="V566" s="16"/>
      <x:c r="W566" s="16"/>
      <x:c r="X566" s="16"/>
      <x:c r="Y566" s="16"/>
      <x:c r="Z566" s="16"/>
      <x:c r="AA566" s="16"/>
      <x:c r="AB566" s="16"/>
      <x:c r="AC566" s="16"/>
      <x:c r="AD566" s="16"/>
    </x:row>
    <x:row r="567">
      <x:c r="A567" s="24"/>
      <x:c r="B567" s="24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16"/>
      <x:c r="V567" s="16"/>
      <x:c r="W567" s="16"/>
      <x:c r="X567" s="16"/>
      <x:c r="Y567" s="16"/>
      <x:c r="Z567" s="16"/>
      <x:c r="AA567" s="16"/>
      <x:c r="AB567" s="16"/>
      <x:c r="AC567" s="16"/>
      <x:c r="AD567" s="16"/>
    </x:row>
    <x:row r="568">
      <x:c r="A568" s="24"/>
      <x:c r="B568" s="24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16"/>
      <x:c r="V568" s="16"/>
      <x:c r="W568" s="16"/>
      <x:c r="X568" s="16"/>
      <x:c r="Y568" s="16"/>
      <x:c r="Z568" s="16"/>
      <x:c r="AA568" s="16"/>
      <x:c r="AB568" s="16"/>
      <x:c r="AC568" s="16"/>
      <x:c r="AD568" s="16"/>
    </x:row>
    <x:row r="569">
      <x:c r="A569" s="24"/>
      <x:c r="B569" s="24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16"/>
      <x:c r="V569" s="16"/>
      <x:c r="W569" s="16"/>
      <x:c r="X569" s="16"/>
      <x:c r="Y569" s="16"/>
      <x:c r="Z569" s="16"/>
      <x:c r="AA569" s="16"/>
      <x:c r="AB569" s="16"/>
      <x:c r="AC569" s="16"/>
      <x:c r="AD569" s="16"/>
    </x:row>
    <x:row r="570">
      <x:c r="A570" s="24"/>
      <x:c r="B570" s="24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16"/>
      <x:c r="V570" s="16"/>
      <x:c r="W570" s="16"/>
      <x:c r="X570" s="16"/>
      <x:c r="Y570" s="16"/>
      <x:c r="Z570" s="16"/>
      <x:c r="AA570" s="16"/>
      <x:c r="AB570" s="16"/>
      <x:c r="AC570" s="16"/>
      <x:c r="AD570" s="16"/>
    </x:row>
    <x:row r="571">
      <x:c r="A571" s="24"/>
      <x:c r="B571" s="24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16"/>
      <x:c r="V571" s="16"/>
      <x:c r="W571" s="16"/>
      <x:c r="X571" s="16"/>
      <x:c r="Y571" s="16"/>
      <x:c r="Z571" s="16"/>
      <x:c r="AA571" s="16"/>
      <x:c r="AB571" s="16"/>
      <x:c r="AC571" s="16"/>
      <x:c r="AD571" s="16"/>
    </x:row>
    <x:row r="572">
      <x:c r="A572" s="24"/>
      <x:c r="B572" s="24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16"/>
      <x:c r="V572" s="16"/>
      <x:c r="W572" s="16"/>
      <x:c r="X572" s="16"/>
      <x:c r="Y572" s="16"/>
      <x:c r="Z572" s="16"/>
      <x:c r="AA572" s="16"/>
      <x:c r="AB572" s="16"/>
      <x:c r="AC572" s="16"/>
      <x:c r="AD572" s="16"/>
    </x:row>
    <x:row r="573">
      <x:c r="A573" s="24"/>
      <x:c r="B573" s="24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16"/>
      <x:c r="V573" s="16"/>
      <x:c r="W573" s="16"/>
      <x:c r="X573" s="16"/>
      <x:c r="Y573" s="16"/>
      <x:c r="Z573" s="16"/>
      <x:c r="AA573" s="16"/>
      <x:c r="AB573" s="16"/>
      <x:c r="AC573" s="16"/>
      <x:c r="AD573" s="16"/>
    </x:row>
    <x:row r="574">
      <x:c r="A574" s="24"/>
      <x:c r="B574" s="24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16"/>
      <x:c r="V574" s="16"/>
      <x:c r="W574" s="16"/>
      <x:c r="X574" s="16"/>
      <x:c r="Y574" s="16"/>
      <x:c r="Z574" s="16"/>
      <x:c r="AA574" s="16"/>
      <x:c r="AB574" s="16"/>
      <x:c r="AC574" s="16"/>
      <x:c r="AD574" s="16"/>
    </x:row>
    <x:row r="575">
      <x:c r="A575" s="24"/>
      <x:c r="B575" s="24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16"/>
      <x:c r="V575" s="16"/>
      <x:c r="W575" s="16"/>
      <x:c r="X575" s="16"/>
      <x:c r="Y575" s="16"/>
      <x:c r="Z575" s="16"/>
      <x:c r="AA575" s="16"/>
      <x:c r="AB575" s="16"/>
      <x:c r="AC575" s="16"/>
      <x:c r="AD575" s="16"/>
    </x:row>
    <x:row r="576">
      <x:c r="A576" s="24"/>
      <x:c r="B576" s="24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16"/>
      <x:c r="V576" s="16"/>
      <x:c r="W576" s="16"/>
      <x:c r="X576" s="16"/>
      <x:c r="Y576" s="16"/>
      <x:c r="Z576" s="16"/>
      <x:c r="AA576" s="16"/>
      <x:c r="AB576" s="16"/>
      <x:c r="AC576" s="16"/>
      <x:c r="AD576" s="16"/>
    </x:row>
    <x:row r="577">
      <x:c r="A577" s="24"/>
      <x:c r="B577" s="24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16"/>
      <x:c r="V577" s="16"/>
      <x:c r="W577" s="16"/>
      <x:c r="X577" s="16"/>
      <x:c r="Y577" s="16"/>
      <x:c r="Z577" s="16"/>
      <x:c r="AA577" s="16"/>
      <x:c r="AB577" s="16"/>
      <x:c r="AC577" s="16"/>
      <x:c r="AD577" s="16"/>
    </x:row>
    <x:row r="578">
      <x:c r="A578" s="24"/>
      <x:c r="B578" s="24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16"/>
      <x:c r="V578" s="16"/>
      <x:c r="W578" s="16"/>
      <x:c r="X578" s="16"/>
      <x:c r="Y578" s="16"/>
      <x:c r="Z578" s="16"/>
      <x:c r="AA578" s="16"/>
      <x:c r="AB578" s="16"/>
      <x:c r="AC578" s="16"/>
      <x:c r="AD578" s="16"/>
    </x:row>
    <x:row r="579">
      <x:c r="A579" s="24"/>
      <x:c r="B579" s="24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16"/>
      <x:c r="V579" s="16"/>
      <x:c r="W579" s="16"/>
      <x:c r="X579" s="16"/>
      <x:c r="Y579" s="16"/>
      <x:c r="Z579" s="16"/>
      <x:c r="AA579" s="16"/>
      <x:c r="AB579" s="16"/>
      <x:c r="AC579" s="16"/>
      <x:c r="AD579" s="16"/>
    </x:row>
    <x:row r="580">
      <x:c r="A580" s="24"/>
      <x:c r="B580" s="24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16"/>
      <x:c r="V580" s="16"/>
      <x:c r="W580" s="16"/>
      <x:c r="X580" s="16"/>
      <x:c r="Y580" s="16"/>
      <x:c r="Z580" s="16"/>
      <x:c r="AA580" s="16"/>
      <x:c r="AB580" s="16"/>
      <x:c r="AC580" s="16"/>
      <x:c r="AD580" s="16"/>
    </x:row>
    <x:row r="581">
      <x:c r="A581" s="24"/>
      <x:c r="B581" s="24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16"/>
      <x:c r="V581" s="16"/>
      <x:c r="W581" s="16"/>
      <x:c r="X581" s="16"/>
      <x:c r="Y581" s="16"/>
      <x:c r="Z581" s="16"/>
      <x:c r="AA581" s="16"/>
      <x:c r="AB581" s="16"/>
      <x:c r="AC581" s="16"/>
      <x:c r="AD581" s="16"/>
    </x:row>
    <x:row r="582">
      <x:c r="A582" s="24"/>
      <x:c r="B582" s="24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16"/>
      <x:c r="V582" s="16"/>
      <x:c r="W582" s="16"/>
      <x:c r="X582" s="16"/>
      <x:c r="Y582" s="16"/>
      <x:c r="Z582" s="16"/>
      <x:c r="AA582" s="16"/>
      <x:c r="AB582" s="16"/>
      <x:c r="AC582" s="16"/>
      <x:c r="AD582" s="16"/>
    </x:row>
    <x:row r="583">
      <x:c r="A583" s="24"/>
      <x:c r="B583" s="24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16"/>
      <x:c r="V583" s="16"/>
      <x:c r="W583" s="16"/>
      <x:c r="X583" s="16"/>
      <x:c r="Y583" s="16"/>
      <x:c r="Z583" s="16"/>
      <x:c r="AA583" s="16"/>
      <x:c r="AB583" s="16"/>
      <x:c r="AC583" s="16"/>
      <x:c r="AD583" s="16"/>
    </x:row>
    <x:row r="584">
      <x:c r="A584" s="24"/>
      <x:c r="B584" s="24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16"/>
      <x:c r="V584" s="16"/>
      <x:c r="W584" s="16"/>
      <x:c r="X584" s="16"/>
      <x:c r="Y584" s="16"/>
      <x:c r="Z584" s="16"/>
      <x:c r="AA584" s="16"/>
      <x:c r="AB584" s="16"/>
      <x:c r="AC584" s="16"/>
      <x:c r="AD584" s="16"/>
    </x:row>
    <x:row r="585">
      <x:c r="A585" s="24"/>
      <x:c r="B585" s="24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16"/>
      <x:c r="V585" s="16"/>
      <x:c r="W585" s="16"/>
      <x:c r="X585" s="16"/>
      <x:c r="Y585" s="16"/>
      <x:c r="Z585" s="16"/>
      <x:c r="AA585" s="16"/>
      <x:c r="AB585" s="16"/>
      <x:c r="AC585" s="16"/>
      <x:c r="AD585" s="16"/>
    </x:row>
    <x:row r="586">
      <x:c r="A586" s="24"/>
      <x:c r="B586" s="24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16"/>
      <x:c r="V586" s="16"/>
      <x:c r="W586" s="16"/>
      <x:c r="X586" s="16"/>
      <x:c r="Y586" s="16"/>
      <x:c r="Z586" s="16"/>
      <x:c r="AA586" s="16"/>
      <x:c r="AB586" s="16"/>
      <x:c r="AC586" s="16"/>
      <x:c r="AD586" s="16"/>
    </x:row>
    <x:row r="587">
      <x:c r="A587" s="24"/>
      <x:c r="B587" s="24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16"/>
      <x:c r="V587" s="16"/>
      <x:c r="W587" s="16"/>
      <x:c r="X587" s="16"/>
      <x:c r="Y587" s="16"/>
      <x:c r="Z587" s="16"/>
      <x:c r="AA587" s="16"/>
      <x:c r="AB587" s="16"/>
      <x:c r="AC587" s="16"/>
      <x:c r="AD587" s="16"/>
    </x:row>
    <x:row r="588">
      <x:c r="A588" s="24"/>
      <x:c r="B588" s="24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16"/>
      <x:c r="V588" s="16"/>
      <x:c r="W588" s="16"/>
      <x:c r="X588" s="16"/>
      <x:c r="Y588" s="16"/>
      <x:c r="Z588" s="16"/>
      <x:c r="AA588" s="16"/>
      <x:c r="AB588" s="16"/>
      <x:c r="AC588" s="16"/>
      <x:c r="AD588" s="16"/>
    </x:row>
    <x:row r="589">
      <x:c r="A589" s="24"/>
      <x:c r="B589" s="24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16"/>
      <x:c r="V589" s="16"/>
      <x:c r="W589" s="16"/>
      <x:c r="X589" s="16"/>
      <x:c r="Y589" s="16"/>
      <x:c r="Z589" s="16"/>
      <x:c r="AA589" s="16"/>
      <x:c r="AB589" s="16"/>
      <x:c r="AC589" s="16"/>
      <x:c r="AD589" s="16"/>
    </x:row>
    <x:row r="590">
      <x:c r="A590" s="24"/>
      <x:c r="B590" s="24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16"/>
      <x:c r="V590" s="16"/>
      <x:c r="W590" s="16"/>
      <x:c r="X590" s="16"/>
      <x:c r="Y590" s="16"/>
      <x:c r="Z590" s="16"/>
      <x:c r="AA590" s="16"/>
      <x:c r="AB590" s="16"/>
      <x:c r="AC590" s="16"/>
      <x:c r="AD590" s="16"/>
    </x:row>
    <x:row r="591">
      <x:c r="A591" s="24"/>
      <x:c r="B591" s="24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16"/>
      <x:c r="V591" s="16"/>
      <x:c r="W591" s="16"/>
      <x:c r="X591" s="16"/>
      <x:c r="Y591" s="16"/>
      <x:c r="Z591" s="16"/>
      <x:c r="AA591" s="16"/>
      <x:c r="AB591" s="16"/>
      <x:c r="AC591" s="16"/>
      <x:c r="AD591" s="16"/>
    </x:row>
    <x:row r="592">
      <x:c r="A592" s="24"/>
      <x:c r="B592" s="24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16"/>
      <x:c r="V592" s="16"/>
      <x:c r="W592" s="16"/>
      <x:c r="X592" s="16"/>
      <x:c r="Y592" s="16"/>
      <x:c r="Z592" s="16"/>
      <x:c r="AA592" s="16"/>
      <x:c r="AB592" s="16"/>
      <x:c r="AC592" s="16"/>
      <x:c r="AD592" s="16"/>
    </x:row>
    <x:row r="593">
      <x:c r="A593" s="24"/>
      <x:c r="B593" s="24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16"/>
      <x:c r="V593" s="16"/>
      <x:c r="W593" s="16"/>
      <x:c r="X593" s="16"/>
      <x:c r="Y593" s="16"/>
      <x:c r="Z593" s="16"/>
      <x:c r="AA593" s="16"/>
      <x:c r="AB593" s="16"/>
      <x:c r="AC593" s="16"/>
      <x:c r="AD593" s="16"/>
    </x:row>
    <x:row r="594">
      <x:c r="A594" s="24"/>
      <x:c r="B594" s="24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16"/>
      <x:c r="V594" s="16"/>
      <x:c r="W594" s="16"/>
      <x:c r="X594" s="16"/>
      <x:c r="Y594" s="16"/>
      <x:c r="Z594" s="16"/>
      <x:c r="AA594" s="16"/>
      <x:c r="AB594" s="16"/>
      <x:c r="AC594" s="16"/>
      <x:c r="AD594" s="16"/>
    </x:row>
    <x:row r="595">
      <x:c r="A595" s="24"/>
      <x:c r="B595" s="24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16"/>
      <x:c r="V595" s="16"/>
      <x:c r="W595" s="16"/>
      <x:c r="X595" s="16"/>
      <x:c r="Y595" s="16"/>
      <x:c r="Z595" s="16"/>
      <x:c r="AA595" s="16"/>
      <x:c r="AB595" s="16"/>
      <x:c r="AC595" s="16"/>
      <x:c r="AD595" s="16"/>
    </x:row>
    <x:row r="596">
      <x:c r="A596" s="24"/>
      <x:c r="B596" s="24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16"/>
      <x:c r="V596" s="16"/>
      <x:c r="W596" s="16"/>
      <x:c r="X596" s="16"/>
      <x:c r="Y596" s="16"/>
      <x:c r="Z596" s="16"/>
      <x:c r="AA596" s="16"/>
      <x:c r="AB596" s="16"/>
      <x:c r="AC596" s="16"/>
      <x:c r="AD596" s="16"/>
    </x:row>
    <x:row r="597">
      <x:c r="A597" s="24"/>
      <x:c r="B597" s="24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16"/>
      <x:c r="V597" s="16"/>
      <x:c r="W597" s="16"/>
      <x:c r="X597" s="16"/>
      <x:c r="Y597" s="16"/>
      <x:c r="Z597" s="16"/>
      <x:c r="AA597" s="16"/>
      <x:c r="AB597" s="16"/>
      <x:c r="AC597" s="16"/>
      <x:c r="AD597" s="16"/>
    </x:row>
    <x:row r="598">
      <x:c r="A598" s="24"/>
      <x:c r="B598" s="24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16"/>
      <x:c r="V598" s="16"/>
      <x:c r="W598" s="16"/>
      <x:c r="X598" s="16"/>
      <x:c r="Y598" s="16"/>
      <x:c r="Z598" s="16"/>
      <x:c r="AA598" s="16"/>
      <x:c r="AB598" s="16"/>
      <x:c r="AC598" s="16"/>
      <x:c r="AD598" s="16"/>
    </x:row>
    <x:row r="599">
      <x:c r="A599" s="24"/>
      <x:c r="B599" s="24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16"/>
      <x:c r="V599" s="16"/>
      <x:c r="W599" s="16"/>
      <x:c r="X599" s="16"/>
      <x:c r="Y599" s="16"/>
      <x:c r="Z599" s="16"/>
      <x:c r="AA599" s="16"/>
      <x:c r="AB599" s="16"/>
      <x:c r="AC599" s="16"/>
      <x:c r="AD599" s="16"/>
    </x:row>
    <x:row r="600">
      <x:c r="A600" s="24"/>
      <x:c r="B600" s="24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16"/>
      <x:c r="V600" s="16"/>
      <x:c r="W600" s="16"/>
      <x:c r="X600" s="16"/>
      <x:c r="Y600" s="16"/>
      <x:c r="Z600" s="16"/>
      <x:c r="AA600" s="16"/>
      <x:c r="AB600" s="16"/>
      <x:c r="AC600" s="16"/>
      <x:c r="AD600" s="16"/>
    </x:row>
    <x:row r="601">
      <x:c r="A601" s="24"/>
      <x:c r="B601" s="24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16"/>
      <x:c r="V601" s="16"/>
      <x:c r="W601" s="16"/>
      <x:c r="X601" s="16"/>
      <x:c r="Y601" s="16"/>
      <x:c r="Z601" s="16"/>
      <x:c r="AA601" s="16"/>
      <x:c r="AB601" s="16"/>
      <x:c r="AC601" s="16"/>
      <x:c r="AD601" s="16"/>
    </x:row>
    <x:row r="602">
      <x:c r="A602" s="24"/>
      <x:c r="B602" s="24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16"/>
      <x:c r="V602" s="16"/>
      <x:c r="W602" s="16"/>
      <x:c r="X602" s="16"/>
      <x:c r="Y602" s="16"/>
      <x:c r="Z602" s="16"/>
      <x:c r="AA602" s="16"/>
      <x:c r="AB602" s="16"/>
      <x:c r="AC602" s="16"/>
      <x:c r="AD602" s="16"/>
    </x:row>
    <x:row r="603">
      <x:c r="A603" s="24"/>
      <x:c r="B603" s="24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16"/>
      <x:c r="V603" s="16"/>
      <x:c r="W603" s="16"/>
      <x:c r="X603" s="16"/>
      <x:c r="Y603" s="16"/>
      <x:c r="Z603" s="16"/>
      <x:c r="AA603" s="16"/>
      <x:c r="AB603" s="16"/>
      <x:c r="AC603" s="16"/>
      <x:c r="AD603" s="16"/>
    </x:row>
    <x:row r="604">
      <x:c r="A604" s="24"/>
      <x:c r="B604" s="24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16"/>
      <x:c r="V604" s="16"/>
      <x:c r="W604" s="16"/>
      <x:c r="X604" s="16"/>
      <x:c r="Y604" s="16"/>
      <x:c r="Z604" s="16"/>
      <x:c r="AA604" s="16"/>
      <x:c r="AB604" s="16"/>
      <x:c r="AC604" s="16"/>
      <x:c r="AD604" s="16"/>
    </x:row>
    <x:row r="605">
      <x:c r="A605" s="24"/>
      <x:c r="B605" s="24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16"/>
      <x:c r="V605" s="16"/>
      <x:c r="W605" s="16"/>
      <x:c r="X605" s="16"/>
      <x:c r="Y605" s="16"/>
      <x:c r="Z605" s="16"/>
      <x:c r="AA605" s="16"/>
      <x:c r="AB605" s="16"/>
      <x:c r="AC605" s="16"/>
      <x:c r="AD605" s="16"/>
    </x:row>
    <x:row r="606">
      <x:c r="A606" s="24"/>
      <x:c r="B606" s="24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16"/>
      <x:c r="V606" s="16"/>
      <x:c r="W606" s="16"/>
      <x:c r="X606" s="16"/>
      <x:c r="Y606" s="16"/>
      <x:c r="Z606" s="16"/>
      <x:c r="AA606" s="16"/>
      <x:c r="AB606" s="16"/>
      <x:c r="AC606" s="16"/>
      <x:c r="AD606" s="16"/>
    </x:row>
    <x:row r="607">
      <x:c r="A607" s="24"/>
      <x:c r="B607" s="24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16"/>
      <x:c r="V607" s="16"/>
      <x:c r="W607" s="16"/>
      <x:c r="X607" s="16"/>
      <x:c r="Y607" s="16"/>
      <x:c r="Z607" s="16"/>
      <x:c r="AA607" s="16"/>
      <x:c r="AB607" s="16"/>
      <x:c r="AC607" s="16"/>
      <x:c r="AD607" s="16"/>
    </x:row>
    <x:row r="608">
      <x:c r="A608" s="24"/>
      <x:c r="B608" s="24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16"/>
      <x:c r="V608" s="16"/>
      <x:c r="W608" s="16"/>
      <x:c r="X608" s="16"/>
      <x:c r="Y608" s="16"/>
      <x:c r="Z608" s="16"/>
      <x:c r="AA608" s="16"/>
      <x:c r="AB608" s="16"/>
      <x:c r="AC608" s="16"/>
      <x:c r="AD608" s="16"/>
    </x:row>
    <x:row r="609">
      <x:c r="A609" s="24"/>
      <x:c r="B609" s="24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16"/>
      <x:c r="V609" s="16"/>
      <x:c r="W609" s="16"/>
      <x:c r="X609" s="16"/>
      <x:c r="Y609" s="16"/>
      <x:c r="Z609" s="16"/>
      <x:c r="AA609" s="16"/>
      <x:c r="AB609" s="16"/>
      <x:c r="AC609" s="16"/>
      <x:c r="AD609" s="16"/>
    </x:row>
    <x:row r="610">
      <x:c r="A610" s="24"/>
      <x:c r="B610" s="24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16"/>
      <x:c r="V610" s="16"/>
      <x:c r="W610" s="16"/>
      <x:c r="X610" s="16"/>
      <x:c r="Y610" s="16"/>
      <x:c r="Z610" s="16"/>
      <x:c r="AA610" s="16"/>
      <x:c r="AB610" s="16"/>
      <x:c r="AC610" s="16"/>
      <x:c r="AD610" s="16"/>
    </x:row>
    <x:row r="611">
      <x:c r="A611" s="24"/>
      <x:c r="B611" s="24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16"/>
      <x:c r="V611" s="16"/>
      <x:c r="W611" s="16"/>
      <x:c r="X611" s="16"/>
      <x:c r="Y611" s="16"/>
      <x:c r="Z611" s="16"/>
      <x:c r="AA611" s="16"/>
      <x:c r="AB611" s="16"/>
      <x:c r="AC611" s="16"/>
      <x:c r="AD611" s="16"/>
    </x:row>
    <x:row r="612">
      <x:c r="A612" s="24"/>
      <x:c r="B612" s="24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16"/>
      <x:c r="V612" s="16"/>
      <x:c r="W612" s="16"/>
      <x:c r="X612" s="16"/>
      <x:c r="Y612" s="16"/>
      <x:c r="Z612" s="16"/>
      <x:c r="AA612" s="16"/>
      <x:c r="AB612" s="16"/>
      <x:c r="AC612" s="16"/>
      <x:c r="AD612" s="16"/>
    </x:row>
    <x:row r="613">
      <x:c r="A613" s="24"/>
      <x:c r="B613" s="24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16"/>
      <x:c r="V613" s="16"/>
      <x:c r="W613" s="16"/>
      <x:c r="X613" s="16"/>
      <x:c r="Y613" s="16"/>
      <x:c r="Z613" s="16"/>
      <x:c r="AA613" s="16"/>
      <x:c r="AB613" s="16"/>
      <x:c r="AC613" s="16"/>
      <x:c r="AD613" s="16"/>
    </x:row>
    <x:row r="614">
      <x:c r="A614" s="24"/>
      <x:c r="B614" s="24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16"/>
      <x:c r="V614" s="16"/>
      <x:c r="W614" s="16"/>
      <x:c r="X614" s="16"/>
      <x:c r="Y614" s="16"/>
      <x:c r="Z614" s="16"/>
      <x:c r="AA614" s="16"/>
      <x:c r="AB614" s="16"/>
      <x:c r="AC614" s="16"/>
      <x:c r="AD614" s="16"/>
    </x:row>
    <x:row r="615">
      <x:c r="A615" s="24"/>
      <x:c r="B615" s="24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16"/>
      <x:c r="V615" s="16"/>
      <x:c r="W615" s="16"/>
      <x:c r="X615" s="16"/>
      <x:c r="Y615" s="16"/>
      <x:c r="Z615" s="16"/>
      <x:c r="AA615" s="16"/>
      <x:c r="AB615" s="16"/>
      <x:c r="AC615" s="16"/>
      <x:c r="AD615" s="16"/>
    </x:row>
    <x:row r="616">
      <x:c r="A616" s="24"/>
      <x:c r="B616" s="24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16"/>
      <x:c r="V616" s="16"/>
      <x:c r="W616" s="16"/>
      <x:c r="X616" s="16"/>
      <x:c r="Y616" s="16"/>
      <x:c r="Z616" s="16"/>
      <x:c r="AA616" s="16"/>
      <x:c r="AB616" s="16"/>
      <x:c r="AC616" s="16"/>
      <x:c r="AD616" s="16"/>
    </x:row>
    <x:row r="617">
      <x:c r="A617" s="24"/>
      <x:c r="B617" s="24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16"/>
      <x:c r="V617" s="16"/>
      <x:c r="W617" s="16"/>
      <x:c r="X617" s="16"/>
      <x:c r="Y617" s="16"/>
      <x:c r="Z617" s="16"/>
      <x:c r="AA617" s="16"/>
      <x:c r="AB617" s="16"/>
      <x:c r="AC617" s="16"/>
      <x:c r="AD617" s="16"/>
    </x:row>
    <x:row r="618">
      <x:c r="A618" s="24"/>
      <x:c r="B618" s="24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16"/>
      <x:c r="V618" s="16"/>
      <x:c r="W618" s="16"/>
      <x:c r="X618" s="16"/>
      <x:c r="Y618" s="16"/>
      <x:c r="Z618" s="16"/>
      <x:c r="AA618" s="16"/>
      <x:c r="AB618" s="16"/>
      <x:c r="AC618" s="16"/>
      <x:c r="AD618" s="16"/>
    </x:row>
    <x:row r="619">
      <x:c r="A619" s="24"/>
      <x:c r="B619" s="24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16"/>
      <x:c r="V619" s="16"/>
      <x:c r="W619" s="16"/>
      <x:c r="X619" s="16"/>
      <x:c r="Y619" s="16"/>
      <x:c r="Z619" s="16"/>
      <x:c r="AA619" s="16"/>
      <x:c r="AB619" s="16"/>
      <x:c r="AC619" s="16"/>
      <x:c r="AD619" s="16"/>
    </x:row>
    <x:row r="620">
      <x:c r="A620" s="24"/>
      <x:c r="B620" s="24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16"/>
      <x:c r="V620" s="16"/>
      <x:c r="W620" s="16"/>
      <x:c r="X620" s="16"/>
      <x:c r="Y620" s="16"/>
      <x:c r="Z620" s="16"/>
      <x:c r="AA620" s="16"/>
      <x:c r="AB620" s="16"/>
      <x:c r="AC620" s="16"/>
      <x:c r="AD620" s="16"/>
    </x:row>
    <x:row r="621">
      <x:c r="A621" s="24"/>
      <x:c r="B621" s="24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16"/>
      <x:c r="V621" s="16"/>
      <x:c r="W621" s="16"/>
      <x:c r="X621" s="16"/>
      <x:c r="Y621" s="16"/>
      <x:c r="Z621" s="16"/>
      <x:c r="AA621" s="16"/>
      <x:c r="AB621" s="16"/>
      <x:c r="AC621" s="16"/>
      <x:c r="AD621" s="16"/>
    </x:row>
    <x:row r="622">
      <x:c r="A622" s="24"/>
      <x:c r="B622" s="24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16"/>
      <x:c r="V622" s="16"/>
      <x:c r="W622" s="16"/>
      <x:c r="X622" s="16"/>
      <x:c r="Y622" s="16"/>
      <x:c r="Z622" s="16"/>
      <x:c r="AA622" s="16"/>
      <x:c r="AB622" s="16"/>
      <x:c r="AC622" s="16"/>
      <x:c r="AD622" s="16"/>
    </x:row>
    <x:row r="623">
      <x:c r="A623" s="24"/>
      <x:c r="B623" s="24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16"/>
      <x:c r="V623" s="16"/>
      <x:c r="W623" s="16"/>
      <x:c r="X623" s="16"/>
      <x:c r="Y623" s="16"/>
      <x:c r="Z623" s="16"/>
      <x:c r="AA623" s="16"/>
      <x:c r="AB623" s="16"/>
      <x:c r="AC623" s="16"/>
      <x:c r="AD623" s="16"/>
    </x:row>
    <x:row r="624">
      <x:c r="A624" s="24"/>
      <x:c r="B624" s="24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16"/>
      <x:c r="V624" s="16"/>
      <x:c r="W624" s="16"/>
      <x:c r="X624" s="16"/>
      <x:c r="Y624" s="16"/>
      <x:c r="Z624" s="16"/>
      <x:c r="AA624" s="16"/>
      <x:c r="AB624" s="16"/>
      <x:c r="AC624" s="16"/>
      <x:c r="AD624" s="16"/>
    </x:row>
    <x:row r="625">
      <x:c r="A625" s="24"/>
      <x:c r="B625" s="24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16"/>
      <x:c r="V625" s="16"/>
      <x:c r="W625" s="16"/>
      <x:c r="X625" s="16"/>
      <x:c r="Y625" s="16"/>
      <x:c r="Z625" s="16"/>
      <x:c r="AA625" s="16"/>
      <x:c r="AB625" s="16"/>
      <x:c r="AC625" s="16"/>
      <x:c r="AD625" s="16"/>
    </x:row>
    <x:row r="626">
      <x:c r="A626" s="24"/>
      <x:c r="B626" s="24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16"/>
      <x:c r="V626" s="16"/>
      <x:c r="W626" s="16"/>
      <x:c r="X626" s="16"/>
      <x:c r="Y626" s="16"/>
      <x:c r="Z626" s="16"/>
      <x:c r="AA626" s="16"/>
      <x:c r="AB626" s="16"/>
      <x:c r="AC626" s="16"/>
      <x:c r="AD626" s="16"/>
    </x:row>
    <x:row r="627">
      <x:c r="A627" s="24"/>
      <x:c r="B627" s="24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16"/>
      <x:c r="V627" s="16"/>
      <x:c r="W627" s="16"/>
      <x:c r="X627" s="16"/>
      <x:c r="Y627" s="16"/>
      <x:c r="Z627" s="16"/>
      <x:c r="AA627" s="16"/>
      <x:c r="AB627" s="16"/>
      <x:c r="AC627" s="16"/>
      <x:c r="AD627" s="16"/>
    </x:row>
    <x:row r="628">
      <x:c r="A628" s="24"/>
      <x:c r="B628" s="24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16"/>
      <x:c r="V628" s="16"/>
      <x:c r="W628" s="16"/>
      <x:c r="X628" s="16"/>
      <x:c r="Y628" s="16"/>
      <x:c r="Z628" s="16"/>
      <x:c r="AA628" s="16"/>
      <x:c r="AB628" s="16"/>
      <x:c r="AC628" s="16"/>
      <x:c r="AD628" s="16"/>
    </x:row>
    <x:row r="629">
      <x:c r="A629" s="24"/>
      <x:c r="B629" s="24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16"/>
      <x:c r="V629" s="16"/>
      <x:c r="W629" s="16"/>
      <x:c r="X629" s="16"/>
      <x:c r="Y629" s="16"/>
      <x:c r="Z629" s="16"/>
      <x:c r="AA629" s="16"/>
      <x:c r="AB629" s="16"/>
      <x:c r="AC629" s="16"/>
      <x:c r="AD629" s="16"/>
    </x:row>
    <x:row r="630">
      <x:c r="A630" s="24"/>
      <x:c r="B630" s="24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16"/>
      <x:c r="V630" s="16"/>
      <x:c r="W630" s="16"/>
      <x:c r="X630" s="16"/>
      <x:c r="Y630" s="16"/>
      <x:c r="Z630" s="16"/>
      <x:c r="AA630" s="16"/>
      <x:c r="AB630" s="16"/>
      <x:c r="AC630" s="16"/>
      <x:c r="AD630" s="16"/>
    </x:row>
    <x:row r="631">
      <x:c r="A631" s="24"/>
      <x:c r="B631" s="24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16"/>
      <x:c r="V631" s="16"/>
      <x:c r="W631" s="16"/>
      <x:c r="X631" s="16"/>
      <x:c r="Y631" s="16"/>
      <x:c r="Z631" s="16"/>
      <x:c r="AA631" s="16"/>
      <x:c r="AB631" s="16"/>
      <x:c r="AC631" s="16"/>
      <x:c r="AD631" s="16"/>
    </x:row>
    <x:row r="632">
      <x:c r="A632" s="24"/>
      <x:c r="B632" s="24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16"/>
      <x:c r="V632" s="16"/>
      <x:c r="W632" s="16"/>
      <x:c r="X632" s="16"/>
      <x:c r="Y632" s="16"/>
      <x:c r="Z632" s="16"/>
      <x:c r="AA632" s="16"/>
      <x:c r="AB632" s="16"/>
      <x:c r="AC632" s="16"/>
      <x:c r="AD632" s="16"/>
    </x:row>
    <x:row r="633">
      <x:c r="A633" s="24"/>
      <x:c r="B633" s="24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16"/>
      <x:c r="V633" s="16"/>
      <x:c r="W633" s="16"/>
      <x:c r="X633" s="16"/>
      <x:c r="Y633" s="16"/>
      <x:c r="Z633" s="16"/>
      <x:c r="AA633" s="16"/>
      <x:c r="AB633" s="16"/>
      <x:c r="AC633" s="16"/>
      <x:c r="AD633" s="16"/>
    </x:row>
    <x:row r="634">
      <x:c r="A634" s="24"/>
      <x:c r="B634" s="24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16"/>
      <x:c r="V634" s="16"/>
      <x:c r="W634" s="16"/>
      <x:c r="X634" s="16"/>
      <x:c r="Y634" s="16"/>
      <x:c r="Z634" s="16"/>
      <x:c r="AA634" s="16"/>
      <x:c r="AB634" s="16"/>
      <x:c r="AC634" s="16"/>
      <x:c r="AD634" s="16"/>
    </x:row>
    <x:row r="635">
      <x:c r="A635" s="24"/>
      <x:c r="B635" s="24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16"/>
      <x:c r="V635" s="16"/>
      <x:c r="W635" s="16"/>
      <x:c r="X635" s="16"/>
      <x:c r="Y635" s="16"/>
      <x:c r="Z635" s="16"/>
      <x:c r="AA635" s="16"/>
      <x:c r="AB635" s="16"/>
      <x:c r="AC635" s="16"/>
      <x:c r="AD635" s="16"/>
    </x:row>
    <x:row r="636">
      <x:c r="A636" s="24"/>
      <x:c r="B636" s="24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16"/>
      <x:c r="V636" s="16"/>
      <x:c r="W636" s="16"/>
      <x:c r="X636" s="16"/>
      <x:c r="Y636" s="16"/>
      <x:c r="Z636" s="16"/>
      <x:c r="AA636" s="16"/>
      <x:c r="AB636" s="16"/>
      <x:c r="AC636" s="16"/>
      <x:c r="AD636" s="16"/>
    </x:row>
    <x:row r="637">
      <x:c r="A637" s="24"/>
      <x:c r="B637" s="24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16"/>
      <x:c r="V637" s="16"/>
      <x:c r="W637" s="16"/>
      <x:c r="X637" s="16"/>
      <x:c r="Y637" s="16"/>
      <x:c r="Z637" s="16"/>
      <x:c r="AA637" s="16"/>
      <x:c r="AB637" s="16"/>
      <x:c r="AC637" s="16"/>
      <x:c r="AD637" s="16"/>
    </x:row>
    <x:row r="638">
      <x:c r="A638" s="24"/>
      <x:c r="B638" s="24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16"/>
      <x:c r="V638" s="16"/>
      <x:c r="W638" s="16"/>
      <x:c r="X638" s="16"/>
      <x:c r="Y638" s="16"/>
      <x:c r="Z638" s="16"/>
      <x:c r="AA638" s="16"/>
      <x:c r="AB638" s="16"/>
      <x:c r="AC638" s="16"/>
      <x:c r="AD638" s="16"/>
    </x:row>
    <x:row r="639">
      <x:c r="A639" s="24"/>
      <x:c r="B639" s="24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16"/>
      <x:c r="V639" s="16"/>
      <x:c r="W639" s="16"/>
      <x:c r="X639" s="16"/>
      <x:c r="Y639" s="16"/>
      <x:c r="Z639" s="16"/>
      <x:c r="AA639" s="16"/>
      <x:c r="AB639" s="16"/>
      <x:c r="AC639" s="16"/>
      <x:c r="AD639" s="16"/>
    </x:row>
    <x:row r="640">
      <x:c r="A640" s="24"/>
      <x:c r="B640" s="24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16"/>
      <x:c r="V640" s="16"/>
      <x:c r="W640" s="16"/>
      <x:c r="X640" s="16"/>
      <x:c r="Y640" s="16"/>
      <x:c r="Z640" s="16"/>
      <x:c r="AA640" s="16"/>
      <x:c r="AB640" s="16"/>
      <x:c r="AC640" s="16"/>
      <x:c r="AD640" s="16"/>
    </x:row>
    <x:row r="641">
      <x:c r="A641" s="24"/>
      <x:c r="B641" s="24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16"/>
      <x:c r="V641" s="16"/>
      <x:c r="W641" s="16"/>
      <x:c r="X641" s="16"/>
      <x:c r="Y641" s="16"/>
      <x:c r="Z641" s="16"/>
      <x:c r="AA641" s="16"/>
      <x:c r="AB641" s="16"/>
      <x:c r="AC641" s="16"/>
      <x:c r="AD641" s="16"/>
    </x:row>
    <x:row r="642">
      <x:c r="A642" s="24"/>
      <x:c r="B642" s="24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16"/>
      <x:c r="V642" s="16"/>
      <x:c r="W642" s="16"/>
      <x:c r="X642" s="16"/>
      <x:c r="Y642" s="16"/>
      <x:c r="Z642" s="16"/>
      <x:c r="AA642" s="16"/>
      <x:c r="AB642" s="16"/>
      <x:c r="AC642" s="16"/>
      <x:c r="AD642" s="16"/>
    </x:row>
    <x:row r="643">
      <x:c r="A643" s="24"/>
      <x:c r="B643" s="24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16"/>
      <x:c r="V643" s="16"/>
      <x:c r="W643" s="16"/>
      <x:c r="X643" s="16"/>
      <x:c r="Y643" s="16"/>
      <x:c r="Z643" s="16"/>
      <x:c r="AA643" s="16"/>
      <x:c r="AB643" s="16"/>
      <x:c r="AC643" s="16"/>
      <x:c r="AD643" s="16"/>
    </x:row>
    <x:row r="644">
      <x:c r="A644" s="24"/>
      <x:c r="B644" s="24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16"/>
      <x:c r="V644" s="16"/>
      <x:c r="W644" s="16"/>
      <x:c r="X644" s="16"/>
      <x:c r="Y644" s="16"/>
      <x:c r="Z644" s="16"/>
      <x:c r="AA644" s="16"/>
      <x:c r="AB644" s="16"/>
      <x:c r="AC644" s="16"/>
      <x:c r="AD644" s="16"/>
    </x:row>
    <x:row r="645">
      <x:c r="A645" s="24"/>
      <x:c r="B645" s="24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16"/>
      <x:c r="V645" s="16"/>
      <x:c r="W645" s="16"/>
      <x:c r="X645" s="16"/>
      <x:c r="Y645" s="16"/>
      <x:c r="Z645" s="16"/>
      <x:c r="AA645" s="16"/>
      <x:c r="AB645" s="16"/>
      <x:c r="AC645" s="16"/>
      <x:c r="AD645" s="16"/>
    </x:row>
    <x:row r="646">
      <x:c r="A646" s="24"/>
      <x:c r="B646" s="24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16"/>
      <x:c r="V646" s="16"/>
      <x:c r="W646" s="16"/>
      <x:c r="X646" s="16"/>
      <x:c r="Y646" s="16"/>
      <x:c r="Z646" s="16"/>
      <x:c r="AA646" s="16"/>
      <x:c r="AB646" s="16"/>
      <x:c r="AC646" s="16"/>
      <x:c r="AD646" s="16"/>
    </x:row>
    <x:row r="647">
      <x:c r="A647" s="24"/>
      <x:c r="B647" s="24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16"/>
      <x:c r="V647" s="16"/>
      <x:c r="W647" s="16"/>
      <x:c r="X647" s="16"/>
      <x:c r="Y647" s="16"/>
      <x:c r="Z647" s="16"/>
      <x:c r="AA647" s="16"/>
      <x:c r="AB647" s="16"/>
      <x:c r="AC647" s="16"/>
      <x:c r="AD647" s="16"/>
    </x:row>
    <x:row r="648">
      <x:c r="A648" s="24"/>
      <x:c r="B648" s="24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16"/>
      <x:c r="V648" s="16"/>
      <x:c r="W648" s="16"/>
      <x:c r="X648" s="16"/>
      <x:c r="Y648" s="16"/>
      <x:c r="Z648" s="16"/>
      <x:c r="AA648" s="16"/>
      <x:c r="AB648" s="16"/>
      <x:c r="AC648" s="16"/>
      <x:c r="AD648" s="16"/>
    </x:row>
    <x:row r="649">
      <x:c r="A649" s="24"/>
      <x:c r="B649" s="24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16"/>
      <x:c r="V649" s="16"/>
      <x:c r="W649" s="16"/>
      <x:c r="X649" s="16"/>
      <x:c r="Y649" s="16"/>
      <x:c r="Z649" s="16"/>
      <x:c r="AA649" s="16"/>
      <x:c r="AB649" s="16"/>
      <x:c r="AC649" s="16"/>
      <x:c r="AD649" s="16"/>
    </x:row>
    <x:row r="650">
      <x:c r="A650" s="24"/>
      <x:c r="B650" s="24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16"/>
      <x:c r="V650" s="16"/>
      <x:c r="W650" s="16"/>
      <x:c r="X650" s="16"/>
      <x:c r="Y650" s="16"/>
      <x:c r="Z650" s="16"/>
      <x:c r="AA650" s="16"/>
      <x:c r="AB650" s="16"/>
      <x:c r="AC650" s="16"/>
      <x:c r="AD650" s="16"/>
    </x:row>
    <x:row r="651">
      <x:c r="A651" s="24"/>
      <x:c r="B651" s="24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16"/>
      <x:c r="V651" s="16"/>
      <x:c r="W651" s="16"/>
      <x:c r="X651" s="16"/>
      <x:c r="Y651" s="16"/>
      <x:c r="Z651" s="16"/>
      <x:c r="AA651" s="16"/>
      <x:c r="AB651" s="16"/>
      <x:c r="AC651" s="16"/>
      <x:c r="AD651" s="16"/>
    </x:row>
    <x:row r="652">
      <x:c r="A652" s="24"/>
      <x:c r="B652" s="24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16"/>
      <x:c r="V652" s="16"/>
      <x:c r="W652" s="16"/>
      <x:c r="X652" s="16"/>
      <x:c r="Y652" s="16"/>
      <x:c r="Z652" s="16"/>
      <x:c r="AA652" s="16"/>
      <x:c r="AB652" s="16"/>
      <x:c r="AC652" s="16"/>
      <x:c r="AD652" s="16"/>
    </x:row>
    <x:row r="653">
      <x:c r="A653" s="24"/>
      <x:c r="B653" s="24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16"/>
      <x:c r="V653" s="16"/>
      <x:c r="W653" s="16"/>
      <x:c r="X653" s="16"/>
      <x:c r="Y653" s="16"/>
      <x:c r="Z653" s="16"/>
      <x:c r="AA653" s="16"/>
      <x:c r="AB653" s="16"/>
      <x:c r="AC653" s="16"/>
      <x:c r="AD653" s="16"/>
    </x:row>
    <x:row r="654">
      <x:c r="A654" s="24"/>
      <x:c r="B654" s="24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16"/>
      <x:c r="V654" s="16"/>
      <x:c r="W654" s="16"/>
      <x:c r="X654" s="16"/>
      <x:c r="Y654" s="16"/>
      <x:c r="Z654" s="16"/>
      <x:c r="AA654" s="16"/>
      <x:c r="AB654" s="16"/>
      <x:c r="AC654" s="16"/>
      <x:c r="AD654" s="16"/>
    </x:row>
    <x:row r="655">
      <x:c r="A655" s="24"/>
      <x:c r="B655" s="24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16"/>
      <x:c r="V655" s="16"/>
      <x:c r="W655" s="16"/>
      <x:c r="X655" s="16"/>
      <x:c r="Y655" s="16"/>
      <x:c r="Z655" s="16"/>
      <x:c r="AA655" s="16"/>
      <x:c r="AB655" s="16"/>
      <x:c r="AC655" s="16"/>
      <x:c r="AD655" s="16"/>
    </x:row>
    <x:row r="656">
      <x:c r="A656" s="24"/>
      <x:c r="B656" s="24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16"/>
      <x:c r="V656" s="16"/>
      <x:c r="W656" s="16"/>
      <x:c r="X656" s="16"/>
      <x:c r="Y656" s="16"/>
      <x:c r="Z656" s="16"/>
      <x:c r="AA656" s="16"/>
      <x:c r="AB656" s="16"/>
      <x:c r="AC656" s="16"/>
      <x:c r="AD656" s="16"/>
    </x:row>
    <x:row r="657">
      <x:c r="A657" s="24"/>
      <x:c r="B657" s="24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16"/>
      <x:c r="V657" s="16"/>
      <x:c r="W657" s="16"/>
      <x:c r="X657" s="16"/>
      <x:c r="Y657" s="16"/>
      <x:c r="Z657" s="16"/>
      <x:c r="AA657" s="16"/>
      <x:c r="AB657" s="16"/>
      <x:c r="AC657" s="16"/>
      <x:c r="AD657" s="16"/>
    </x:row>
    <x:row r="658">
      <x:c r="A658" s="24"/>
      <x:c r="B658" s="24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16"/>
      <x:c r="V658" s="16"/>
      <x:c r="W658" s="16"/>
      <x:c r="X658" s="16"/>
      <x:c r="Y658" s="16"/>
      <x:c r="Z658" s="16"/>
      <x:c r="AA658" s="16"/>
      <x:c r="AB658" s="16"/>
      <x:c r="AC658" s="16"/>
      <x:c r="AD658" s="16"/>
    </x:row>
    <x:row r="659">
      <x:c r="A659" s="24"/>
      <x:c r="B659" s="24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16"/>
      <x:c r="V659" s="16"/>
      <x:c r="W659" s="16"/>
      <x:c r="X659" s="16"/>
      <x:c r="Y659" s="16"/>
      <x:c r="Z659" s="16"/>
      <x:c r="AA659" s="16"/>
      <x:c r="AB659" s="16"/>
      <x:c r="AC659" s="16"/>
      <x:c r="AD659" s="16"/>
    </x:row>
    <x:row r="660">
      <x:c r="A660" s="24"/>
      <x:c r="B660" s="24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16"/>
      <x:c r="V660" s="16"/>
      <x:c r="W660" s="16"/>
      <x:c r="X660" s="16"/>
      <x:c r="Y660" s="16"/>
      <x:c r="Z660" s="16"/>
      <x:c r="AA660" s="16"/>
      <x:c r="AB660" s="16"/>
      <x:c r="AC660" s="16"/>
      <x:c r="AD660" s="16"/>
    </x:row>
    <x:row r="661">
      <x:c r="A661" s="24"/>
      <x:c r="B661" s="24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16"/>
      <x:c r="V661" s="16"/>
      <x:c r="W661" s="16"/>
      <x:c r="X661" s="16"/>
      <x:c r="Y661" s="16"/>
      <x:c r="Z661" s="16"/>
      <x:c r="AA661" s="16"/>
      <x:c r="AB661" s="16"/>
      <x:c r="AC661" s="16"/>
      <x:c r="AD661" s="16"/>
    </x:row>
    <x:row r="662">
      <x:c r="A662" s="24"/>
      <x:c r="B662" s="24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16"/>
      <x:c r="V662" s="16"/>
      <x:c r="W662" s="16"/>
      <x:c r="X662" s="16"/>
      <x:c r="Y662" s="16"/>
      <x:c r="Z662" s="16"/>
      <x:c r="AA662" s="16"/>
      <x:c r="AB662" s="16"/>
      <x:c r="AC662" s="16"/>
      <x:c r="AD662" s="16"/>
    </x:row>
    <x:row r="663">
      <x:c r="A663" s="24"/>
      <x:c r="B663" s="24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16"/>
      <x:c r="V663" s="16"/>
      <x:c r="W663" s="16"/>
      <x:c r="X663" s="16"/>
      <x:c r="Y663" s="16"/>
      <x:c r="Z663" s="16"/>
      <x:c r="AA663" s="16"/>
      <x:c r="AB663" s="16"/>
      <x:c r="AC663" s="16"/>
      <x:c r="AD663" s="16"/>
    </x:row>
    <x:row r="664">
      <x:c r="A664" s="24"/>
      <x:c r="B664" s="24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16"/>
      <x:c r="V664" s="16"/>
      <x:c r="W664" s="16"/>
      <x:c r="X664" s="16"/>
      <x:c r="Y664" s="16"/>
      <x:c r="Z664" s="16"/>
      <x:c r="AA664" s="16"/>
      <x:c r="AB664" s="16"/>
      <x:c r="AC664" s="16"/>
      <x:c r="AD664" s="16"/>
    </x:row>
    <x:row r="665">
      <x:c r="A665" s="24"/>
      <x:c r="B665" s="24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16"/>
      <x:c r="V665" s="16"/>
      <x:c r="W665" s="16"/>
      <x:c r="X665" s="16"/>
      <x:c r="Y665" s="16"/>
      <x:c r="Z665" s="16"/>
      <x:c r="AA665" s="16"/>
      <x:c r="AB665" s="16"/>
      <x:c r="AC665" s="16"/>
      <x:c r="AD665" s="16"/>
    </x:row>
    <x:row r="666">
      <x:c r="A666" s="24"/>
      <x:c r="B666" s="24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16"/>
      <x:c r="V666" s="16"/>
      <x:c r="W666" s="16"/>
      <x:c r="X666" s="16"/>
      <x:c r="Y666" s="16"/>
      <x:c r="Z666" s="16"/>
      <x:c r="AA666" s="16"/>
      <x:c r="AB666" s="16"/>
      <x:c r="AC666" s="16"/>
      <x:c r="AD666" s="16"/>
    </x:row>
    <x:row r="667">
      <x:c r="A667" s="24"/>
      <x:c r="B667" s="24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16"/>
      <x:c r="V667" s="16"/>
      <x:c r="W667" s="16"/>
      <x:c r="X667" s="16"/>
      <x:c r="Y667" s="16"/>
      <x:c r="Z667" s="16"/>
      <x:c r="AA667" s="16"/>
      <x:c r="AB667" s="16"/>
      <x:c r="AC667" s="16"/>
      <x:c r="AD667" s="16"/>
    </x:row>
    <x:row r="668">
      <x:c r="A668" s="24"/>
      <x:c r="B668" s="24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16"/>
      <x:c r="V668" s="16"/>
      <x:c r="W668" s="16"/>
      <x:c r="X668" s="16"/>
      <x:c r="Y668" s="16"/>
      <x:c r="Z668" s="16"/>
      <x:c r="AA668" s="16"/>
      <x:c r="AB668" s="16"/>
      <x:c r="AC668" s="16"/>
      <x:c r="AD668" s="16"/>
    </x:row>
    <x:row r="669">
      <x:c r="A669" s="24"/>
      <x:c r="B669" s="24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16"/>
      <x:c r="V669" s="16"/>
      <x:c r="W669" s="16"/>
      <x:c r="X669" s="16"/>
      <x:c r="Y669" s="16"/>
      <x:c r="Z669" s="16"/>
      <x:c r="AA669" s="16"/>
      <x:c r="AB669" s="16"/>
      <x:c r="AC669" s="16"/>
      <x:c r="AD669" s="16"/>
    </x:row>
    <x:row r="670">
      <x:c r="A670" s="24"/>
      <x:c r="B670" s="24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16"/>
      <x:c r="V670" s="16"/>
      <x:c r="W670" s="16"/>
      <x:c r="X670" s="16"/>
      <x:c r="Y670" s="16"/>
      <x:c r="Z670" s="16"/>
      <x:c r="AA670" s="16"/>
      <x:c r="AB670" s="16"/>
      <x:c r="AC670" s="16"/>
      <x:c r="AD670" s="16"/>
    </x:row>
    <x:row r="671">
      <x:c r="A671" s="24"/>
      <x:c r="B671" s="24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16"/>
      <x:c r="V671" s="16"/>
      <x:c r="W671" s="16"/>
      <x:c r="X671" s="16"/>
      <x:c r="Y671" s="16"/>
      <x:c r="Z671" s="16"/>
      <x:c r="AA671" s="16"/>
      <x:c r="AB671" s="16"/>
      <x:c r="AC671" s="16"/>
      <x:c r="AD671" s="16"/>
    </x:row>
    <x:row r="672">
      <x:c r="A672" s="24"/>
      <x:c r="B672" s="24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16"/>
      <x:c r="V672" s="16"/>
      <x:c r="W672" s="16"/>
      <x:c r="X672" s="16"/>
      <x:c r="Y672" s="16"/>
      <x:c r="Z672" s="16"/>
      <x:c r="AA672" s="16"/>
      <x:c r="AB672" s="16"/>
      <x:c r="AC672" s="16"/>
      <x:c r="AD672" s="16"/>
    </x:row>
    <x:row r="673">
      <x:c r="A673" s="24"/>
      <x:c r="B673" s="24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16"/>
      <x:c r="V673" s="16"/>
      <x:c r="W673" s="16"/>
      <x:c r="X673" s="16"/>
      <x:c r="Y673" s="16"/>
      <x:c r="Z673" s="16"/>
      <x:c r="AA673" s="16"/>
      <x:c r="AB673" s="16"/>
      <x:c r="AC673" s="16"/>
      <x:c r="AD673" s="16"/>
    </x:row>
    <x:row r="674">
      <x:c r="A674" s="24"/>
      <x:c r="B674" s="24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16"/>
      <x:c r="V674" s="16"/>
      <x:c r="W674" s="16"/>
      <x:c r="X674" s="16"/>
      <x:c r="Y674" s="16"/>
      <x:c r="Z674" s="16"/>
      <x:c r="AA674" s="16"/>
      <x:c r="AB674" s="16"/>
      <x:c r="AC674" s="16"/>
      <x:c r="AD674" s="16"/>
    </x:row>
    <x:row r="675">
      <x:c r="A675" s="24"/>
      <x:c r="B675" s="24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16"/>
      <x:c r="V675" s="16"/>
      <x:c r="W675" s="16"/>
      <x:c r="X675" s="16"/>
      <x:c r="Y675" s="16"/>
      <x:c r="Z675" s="16"/>
      <x:c r="AA675" s="16"/>
      <x:c r="AB675" s="16"/>
      <x:c r="AC675" s="16"/>
      <x:c r="AD675" s="16"/>
    </x:row>
    <x:row r="676">
      <x:c r="A676" s="24"/>
      <x:c r="B676" s="24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16"/>
      <x:c r="V676" s="16"/>
      <x:c r="W676" s="16"/>
      <x:c r="X676" s="16"/>
      <x:c r="Y676" s="16"/>
      <x:c r="Z676" s="16"/>
      <x:c r="AA676" s="16"/>
      <x:c r="AB676" s="16"/>
      <x:c r="AC676" s="16"/>
      <x:c r="AD676" s="16"/>
    </x:row>
    <x:row r="677">
      <x:c r="A677" s="24"/>
      <x:c r="B677" s="24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16"/>
      <x:c r="V677" s="16"/>
      <x:c r="W677" s="16"/>
      <x:c r="X677" s="16"/>
      <x:c r="Y677" s="16"/>
      <x:c r="Z677" s="16"/>
      <x:c r="AA677" s="16"/>
      <x:c r="AB677" s="16"/>
      <x:c r="AC677" s="16"/>
      <x:c r="AD677" s="16"/>
    </x:row>
    <x:row r="678">
      <x:c r="A678" s="24"/>
      <x:c r="B678" s="24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16"/>
      <x:c r="V678" s="16"/>
      <x:c r="W678" s="16"/>
      <x:c r="X678" s="16"/>
      <x:c r="Y678" s="16"/>
      <x:c r="Z678" s="16"/>
      <x:c r="AA678" s="16"/>
      <x:c r="AB678" s="16"/>
      <x:c r="AC678" s="16"/>
      <x:c r="AD678" s="16"/>
    </x:row>
    <x:row r="679">
      <x:c r="A679" s="24"/>
      <x:c r="B679" s="24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16"/>
      <x:c r="V679" s="16"/>
      <x:c r="W679" s="16"/>
      <x:c r="X679" s="16"/>
      <x:c r="Y679" s="16"/>
      <x:c r="Z679" s="16"/>
      <x:c r="AA679" s="16"/>
      <x:c r="AB679" s="16"/>
      <x:c r="AC679" s="16"/>
      <x:c r="AD679" s="16"/>
    </x:row>
    <x:row r="680">
      <x:c r="A680" s="24"/>
      <x:c r="B680" s="24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16"/>
      <x:c r="V680" s="16"/>
      <x:c r="W680" s="16"/>
      <x:c r="X680" s="16"/>
      <x:c r="Y680" s="16"/>
      <x:c r="Z680" s="16"/>
      <x:c r="AA680" s="16"/>
      <x:c r="AB680" s="16"/>
      <x:c r="AC680" s="16"/>
      <x:c r="AD680" s="16"/>
    </x:row>
    <x:row r="681">
      <x:c r="A681" s="24"/>
      <x:c r="B681" s="24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16"/>
      <x:c r="V681" s="16"/>
      <x:c r="W681" s="16"/>
      <x:c r="X681" s="16"/>
      <x:c r="Y681" s="16"/>
      <x:c r="Z681" s="16"/>
      <x:c r="AA681" s="16"/>
      <x:c r="AB681" s="16"/>
      <x:c r="AC681" s="16"/>
      <x:c r="AD681" s="16"/>
    </x:row>
    <x:row r="682">
      <x:c r="A682" s="24"/>
      <x:c r="B682" s="24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16"/>
      <x:c r="V682" s="16"/>
      <x:c r="W682" s="16"/>
      <x:c r="X682" s="16"/>
      <x:c r="Y682" s="16"/>
      <x:c r="Z682" s="16"/>
      <x:c r="AA682" s="16"/>
      <x:c r="AB682" s="16"/>
      <x:c r="AC682" s="16"/>
      <x:c r="AD682" s="16"/>
    </x:row>
    <x:row r="683">
      <x:c r="A683" s="24"/>
      <x:c r="B683" s="24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16"/>
      <x:c r="V683" s="16"/>
      <x:c r="W683" s="16"/>
      <x:c r="X683" s="16"/>
      <x:c r="Y683" s="16"/>
      <x:c r="Z683" s="16"/>
      <x:c r="AA683" s="16"/>
      <x:c r="AB683" s="16"/>
      <x:c r="AC683" s="16"/>
      <x:c r="AD683" s="16"/>
    </x:row>
    <x:row r="684">
      <x:c r="A684" s="24"/>
      <x:c r="B684" s="24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16"/>
      <x:c r="V684" s="16"/>
      <x:c r="W684" s="16"/>
      <x:c r="X684" s="16"/>
      <x:c r="Y684" s="16"/>
      <x:c r="Z684" s="16"/>
      <x:c r="AA684" s="16"/>
      <x:c r="AB684" s="16"/>
      <x:c r="AC684" s="16"/>
      <x:c r="AD684" s="16"/>
    </x:row>
    <x:row r="685">
      <x:c r="A685" s="24"/>
      <x:c r="B685" s="24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16"/>
      <x:c r="V685" s="16"/>
      <x:c r="W685" s="16"/>
      <x:c r="X685" s="16"/>
      <x:c r="Y685" s="16"/>
      <x:c r="Z685" s="16"/>
      <x:c r="AA685" s="16"/>
      <x:c r="AB685" s="16"/>
      <x:c r="AC685" s="16"/>
      <x:c r="AD685" s="16"/>
    </x:row>
    <x:row r="686">
      <x:c r="A686" s="24"/>
      <x:c r="B686" s="24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16"/>
      <x:c r="V686" s="16"/>
      <x:c r="W686" s="16"/>
      <x:c r="X686" s="16"/>
      <x:c r="Y686" s="16"/>
      <x:c r="Z686" s="16"/>
      <x:c r="AA686" s="16"/>
      <x:c r="AB686" s="16"/>
      <x:c r="AC686" s="16"/>
      <x:c r="AD686" s="16"/>
    </x:row>
    <x:row r="687">
      <x:c r="A687" s="24"/>
      <x:c r="B687" s="24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16"/>
      <x:c r="V687" s="16"/>
      <x:c r="W687" s="16"/>
      <x:c r="X687" s="16"/>
      <x:c r="Y687" s="16"/>
      <x:c r="Z687" s="16"/>
      <x:c r="AA687" s="16"/>
      <x:c r="AB687" s="16"/>
      <x:c r="AC687" s="16"/>
      <x:c r="AD687" s="16"/>
    </x:row>
    <x:row r="688">
      <x:c r="A688" s="24"/>
      <x:c r="B688" s="24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16"/>
      <x:c r="V688" s="16"/>
      <x:c r="W688" s="16"/>
      <x:c r="X688" s="16"/>
      <x:c r="Y688" s="16"/>
      <x:c r="Z688" s="16"/>
      <x:c r="AA688" s="16"/>
      <x:c r="AB688" s="16"/>
      <x:c r="AC688" s="16"/>
      <x:c r="AD688" s="16"/>
    </x:row>
    <x:row r="689">
      <x:c r="A689" s="24"/>
      <x:c r="B689" s="24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16"/>
      <x:c r="V689" s="16"/>
      <x:c r="W689" s="16"/>
      <x:c r="X689" s="16"/>
      <x:c r="Y689" s="16"/>
      <x:c r="Z689" s="16"/>
      <x:c r="AA689" s="16"/>
      <x:c r="AB689" s="16"/>
      <x:c r="AC689" s="16"/>
      <x:c r="AD689" s="16"/>
    </x:row>
    <x:row r="690">
      <x:c r="A690" s="24"/>
      <x:c r="B690" s="24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16"/>
      <x:c r="V690" s="16"/>
      <x:c r="W690" s="16"/>
      <x:c r="X690" s="16"/>
      <x:c r="Y690" s="16"/>
      <x:c r="Z690" s="16"/>
      <x:c r="AA690" s="16"/>
      <x:c r="AB690" s="16"/>
      <x:c r="AC690" s="16"/>
      <x:c r="AD690" s="16"/>
    </x:row>
    <x:row r="691">
      <x:c r="A691" s="24"/>
      <x:c r="B691" s="24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16"/>
      <x:c r="V691" s="16"/>
      <x:c r="W691" s="16"/>
      <x:c r="X691" s="16"/>
      <x:c r="Y691" s="16"/>
      <x:c r="Z691" s="16"/>
      <x:c r="AA691" s="16"/>
      <x:c r="AB691" s="16"/>
      <x:c r="AC691" s="16"/>
      <x:c r="AD691" s="16"/>
    </x:row>
    <x:row r="692">
      <x:c r="A692" s="24"/>
      <x:c r="B692" s="24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16"/>
      <x:c r="V692" s="16"/>
      <x:c r="W692" s="16"/>
      <x:c r="X692" s="16"/>
      <x:c r="Y692" s="16"/>
      <x:c r="Z692" s="16"/>
      <x:c r="AA692" s="16"/>
      <x:c r="AB692" s="16"/>
      <x:c r="AC692" s="16"/>
      <x:c r="AD692" s="16"/>
    </x:row>
    <x:row r="693">
      <x:c r="A693" s="24"/>
      <x:c r="B693" s="24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16"/>
      <x:c r="V693" s="16"/>
      <x:c r="W693" s="16"/>
      <x:c r="X693" s="16"/>
      <x:c r="Y693" s="16"/>
      <x:c r="Z693" s="16"/>
      <x:c r="AA693" s="16"/>
      <x:c r="AB693" s="16"/>
      <x:c r="AC693" s="16"/>
      <x:c r="AD693" s="16"/>
    </x:row>
    <x:row r="694">
      <x:c r="A694" s="24"/>
      <x:c r="B694" s="24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16"/>
      <x:c r="V694" s="16"/>
      <x:c r="W694" s="16"/>
      <x:c r="X694" s="16"/>
      <x:c r="Y694" s="16"/>
      <x:c r="Z694" s="16"/>
      <x:c r="AA694" s="16"/>
      <x:c r="AB694" s="16"/>
      <x:c r="AC694" s="16"/>
      <x:c r="AD694" s="16"/>
    </x:row>
    <x:row r="695">
      <x:c r="A695" s="24"/>
      <x:c r="B695" s="24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16"/>
      <x:c r="V695" s="16"/>
      <x:c r="W695" s="16"/>
      <x:c r="X695" s="16"/>
      <x:c r="Y695" s="16"/>
      <x:c r="Z695" s="16"/>
      <x:c r="AA695" s="16"/>
      <x:c r="AB695" s="16"/>
      <x:c r="AC695" s="16"/>
      <x:c r="AD695" s="16"/>
    </x:row>
    <x:row r="696">
      <x:c r="A696" s="24"/>
      <x:c r="B696" s="24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16"/>
      <x:c r="V696" s="16"/>
      <x:c r="W696" s="16"/>
      <x:c r="X696" s="16"/>
      <x:c r="Y696" s="16"/>
      <x:c r="Z696" s="16"/>
      <x:c r="AA696" s="16"/>
      <x:c r="AB696" s="16"/>
      <x:c r="AC696" s="16"/>
      <x:c r="AD696" s="16"/>
    </x:row>
    <x:row r="697">
      <x:c r="A697" s="24"/>
      <x:c r="B697" s="24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16"/>
      <x:c r="V697" s="16"/>
      <x:c r="W697" s="16"/>
      <x:c r="X697" s="16"/>
      <x:c r="Y697" s="16"/>
      <x:c r="Z697" s="16"/>
      <x:c r="AA697" s="16"/>
      <x:c r="AB697" s="16"/>
      <x:c r="AC697" s="16"/>
      <x:c r="AD697" s="16"/>
    </x:row>
    <x:row r="698">
      <x:c r="A698" s="24"/>
      <x:c r="B698" s="24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16"/>
      <x:c r="V698" s="16"/>
      <x:c r="W698" s="16"/>
      <x:c r="X698" s="16"/>
      <x:c r="Y698" s="16"/>
      <x:c r="Z698" s="16"/>
      <x:c r="AA698" s="16"/>
      <x:c r="AB698" s="16"/>
      <x:c r="AC698" s="16"/>
      <x:c r="AD698" s="16"/>
    </x:row>
    <x:row r="699">
      <x:c r="A699" s="24"/>
      <x:c r="B699" s="24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16"/>
      <x:c r="V699" s="16"/>
      <x:c r="W699" s="16"/>
      <x:c r="X699" s="16"/>
      <x:c r="Y699" s="16"/>
      <x:c r="Z699" s="16"/>
      <x:c r="AA699" s="16"/>
      <x:c r="AB699" s="16"/>
      <x:c r="AC699" s="16"/>
      <x:c r="AD699" s="16"/>
    </x:row>
    <x:row r="700">
      <x:c r="A700" s="24"/>
      <x:c r="B700" s="24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16"/>
      <x:c r="V700" s="16"/>
      <x:c r="W700" s="16"/>
      <x:c r="X700" s="16"/>
      <x:c r="Y700" s="16"/>
      <x:c r="Z700" s="16"/>
      <x:c r="AA700" s="16"/>
      <x:c r="AB700" s="16"/>
      <x:c r="AC700" s="16"/>
      <x:c r="AD700" s="16"/>
    </x:row>
    <x:row r="701">
      <x:c r="A701" s="24"/>
      <x:c r="B701" s="24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16"/>
      <x:c r="V701" s="16"/>
      <x:c r="W701" s="16"/>
      <x:c r="X701" s="16"/>
      <x:c r="Y701" s="16"/>
      <x:c r="Z701" s="16"/>
      <x:c r="AA701" s="16"/>
      <x:c r="AB701" s="16"/>
      <x:c r="AC701" s="16"/>
      <x:c r="AD701" s="16"/>
    </x:row>
    <x:row r="702">
      <x:c r="A702" s="24"/>
      <x:c r="B702" s="24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16"/>
      <x:c r="V702" s="16"/>
      <x:c r="W702" s="16"/>
      <x:c r="X702" s="16"/>
      <x:c r="Y702" s="16"/>
      <x:c r="Z702" s="16"/>
      <x:c r="AA702" s="16"/>
      <x:c r="AB702" s="16"/>
      <x:c r="AC702" s="16"/>
      <x:c r="AD702" s="16"/>
    </x:row>
    <x:row r="703">
      <x:c r="A703" s="24"/>
      <x:c r="B703" s="24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16"/>
      <x:c r="V703" s="16"/>
      <x:c r="W703" s="16"/>
      <x:c r="X703" s="16"/>
      <x:c r="Y703" s="16"/>
      <x:c r="Z703" s="16"/>
      <x:c r="AA703" s="16"/>
      <x:c r="AB703" s="16"/>
      <x:c r="AC703" s="16"/>
      <x:c r="AD703" s="16"/>
    </x:row>
    <x:row r="704">
      <x:c r="A704" s="24"/>
      <x:c r="B704" s="24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16"/>
      <x:c r="V704" s="16"/>
      <x:c r="W704" s="16"/>
      <x:c r="X704" s="16"/>
      <x:c r="Y704" s="16"/>
      <x:c r="Z704" s="16"/>
      <x:c r="AA704" s="16"/>
      <x:c r="AB704" s="16"/>
      <x:c r="AC704" s="16"/>
      <x:c r="AD704" s="16"/>
    </x:row>
    <x:row r="705">
      <x:c r="A705" s="24"/>
      <x:c r="B705" s="24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16"/>
      <x:c r="V705" s="16"/>
      <x:c r="W705" s="16"/>
      <x:c r="X705" s="16"/>
      <x:c r="Y705" s="16"/>
      <x:c r="Z705" s="16"/>
      <x:c r="AA705" s="16"/>
      <x:c r="AB705" s="16"/>
      <x:c r="AC705" s="16"/>
      <x:c r="AD705" s="16"/>
    </x:row>
    <x:row r="706">
      <x:c r="A706" s="24"/>
      <x:c r="B706" s="24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16"/>
      <x:c r="V706" s="16"/>
      <x:c r="W706" s="16"/>
      <x:c r="X706" s="16"/>
      <x:c r="Y706" s="16"/>
      <x:c r="Z706" s="16"/>
      <x:c r="AA706" s="16"/>
      <x:c r="AB706" s="16"/>
      <x:c r="AC706" s="16"/>
      <x:c r="AD706" s="16"/>
    </x:row>
    <x:row r="707">
      <x:c r="A707" s="24"/>
      <x:c r="B707" s="24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16"/>
      <x:c r="V707" s="16"/>
      <x:c r="W707" s="16"/>
      <x:c r="X707" s="16"/>
      <x:c r="Y707" s="16"/>
      <x:c r="Z707" s="16"/>
      <x:c r="AA707" s="16"/>
      <x:c r="AB707" s="16"/>
      <x:c r="AC707" s="16"/>
      <x:c r="AD707" s="16"/>
    </x:row>
    <x:row r="708">
      <x:c r="A708" s="24"/>
      <x:c r="B708" s="24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16"/>
      <x:c r="V708" s="16"/>
      <x:c r="W708" s="16"/>
      <x:c r="X708" s="16"/>
      <x:c r="Y708" s="16"/>
      <x:c r="Z708" s="16"/>
      <x:c r="AA708" s="16"/>
      <x:c r="AB708" s="16"/>
      <x:c r="AC708" s="16"/>
      <x:c r="AD708" s="16"/>
    </x:row>
    <x:row r="709">
      <x:c r="A709" s="24"/>
      <x:c r="B709" s="24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16"/>
      <x:c r="V709" s="16"/>
      <x:c r="W709" s="16"/>
      <x:c r="X709" s="16"/>
      <x:c r="Y709" s="16"/>
      <x:c r="Z709" s="16"/>
      <x:c r="AA709" s="16"/>
      <x:c r="AB709" s="16"/>
      <x:c r="AC709" s="16"/>
      <x:c r="AD709" s="16"/>
    </x:row>
    <x:row r="710">
      <x:c r="A710" s="24"/>
      <x:c r="B710" s="24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16"/>
      <x:c r="V710" s="16"/>
      <x:c r="W710" s="16"/>
      <x:c r="X710" s="16"/>
      <x:c r="Y710" s="16"/>
      <x:c r="Z710" s="16"/>
      <x:c r="AA710" s="16"/>
      <x:c r="AB710" s="16"/>
      <x:c r="AC710" s="16"/>
      <x:c r="AD710" s="16"/>
    </x:row>
    <x:row r="711">
      <x:c r="A711" s="24"/>
      <x:c r="B711" s="24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16"/>
      <x:c r="V711" s="16"/>
      <x:c r="W711" s="16"/>
      <x:c r="X711" s="16"/>
      <x:c r="Y711" s="16"/>
      <x:c r="Z711" s="16"/>
      <x:c r="AA711" s="16"/>
      <x:c r="AB711" s="16"/>
      <x:c r="AC711" s="16"/>
      <x:c r="AD711" s="16"/>
    </x:row>
    <x:row r="712">
      <x:c r="A712" s="24"/>
      <x:c r="B712" s="24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16"/>
      <x:c r="V712" s="16"/>
      <x:c r="W712" s="16"/>
      <x:c r="X712" s="16"/>
      <x:c r="Y712" s="16"/>
      <x:c r="Z712" s="16"/>
      <x:c r="AA712" s="16"/>
      <x:c r="AB712" s="16"/>
      <x:c r="AC712" s="16"/>
      <x:c r="AD712" s="16"/>
    </x:row>
    <x:row r="713">
      <x:c r="A713" s="24"/>
      <x:c r="B713" s="24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16"/>
      <x:c r="V713" s="16"/>
      <x:c r="W713" s="16"/>
      <x:c r="X713" s="16"/>
      <x:c r="Y713" s="16"/>
      <x:c r="Z713" s="16"/>
      <x:c r="AA713" s="16"/>
      <x:c r="AB713" s="16"/>
      <x:c r="AC713" s="16"/>
      <x:c r="AD713" s="16"/>
    </x:row>
    <x:row r="714">
      <x:c r="A714" s="24"/>
      <x:c r="B714" s="24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16"/>
      <x:c r="V714" s="16"/>
      <x:c r="W714" s="16"/>
      <x:c r="X714" s="16"/>
      <x:c r="Y714" s="16"/>
      <x:c r="Z714" s="16"/>
      <x:c r="AA714" s="16"/>
      <x:c r="AB714" s="16"/>
      <x:c r="AC714" s="16"/>
      <x:c r="AD714" s="16"/>
    </x:row>
    <x:row r="715">
      <x:c r="A715" s="24"/>
      <x:c r="B715" s="24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16"/>
      <x:c r="V715" s="16"/>
      <x:c r="W715" s="16"/>
      <x:c r="X715" s="16"/>
      <x:c r="Y715" s="16"/>
      <x:c r="Z715" s="16"/>
      <x:c r="AA715" s="16"/>
      <x:c r="AB715" s="16"/>
      <x:c r="AC715" s="16"/>
      <x:c r="AD715" s="16"/>
    </x:row>
    <x:row r="716">
      <x:c r="A716" s="24"/>
      <x:c r="B716" s="24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16"/>
      <x:c r="V716" s="16"/>
      <x:c r="W716" s="16"/>
      <x:c r="X716" s="16"/>
      <x:c r="Y716" s="16"/>
      <x:c r="Z716" s="16"/>
      <x:c r="AA716" s="16"/>
      <x:c r="AB716" s="16"/>
      <x:c r="AC716" s="16"/>
      <x:c r="AD716" s="16"/>
    </x:row>
    <x:row r="717">
      <x:c r="A717" s="24"/>
      <x:c r="B717" s="24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16"/>
      <x:c r="V717" s="16"/>
      <x:c r="W717" s="16"/>
      <x:c r="X717" s="16"/>
      <x:c r="Y717" s="16"/>
      <x:c r="Z717" s="16"/>
      <x:c r="AA717" s="16"/>
      <x:c r="AB717" s="16"/>
      <x:c r="AC717" s="16"/>
      <x:c r="AD717" s="16"/>
    </x:row>
    <x:row r="718">
      <x:c r="A718" s="24"/>
      <x:c r="B718" s="24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16"/>
      <x:c r="V718" s="16"/>
      <x:c r="W718" s="16"/>
      <x:c r="X718" s="16"/>
      <x:c r="Y718" s="16"/>
      <x:c r="Z718" s="16"/>
      <x:c r="AA718" s="16"/>
      <x:c r="AB718" s="16"/>
      <x:c r="AC718" s="16"/>
      <x:c r="AD718" s="16"/>
    </x:row>
    <x:row r="719">
      <x:c r="A719" s="24"/>
      <x:c r="B719" s="24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16"/>
      <x:c r="V719" s="16"/>
      <x:c r="W719" s="16"/>
      <x:c r="X719" s="16"/>
      <x:c r="Y719" s="16"/>
      <x:c r="Z719" s="16"/>
      <x:c r="AA719" s="16"/>
      <x:c r="AB719" s="16"/>
      <x:c r="AC719" s="16"/>
      <x:c r="AD719" s="16"/>
    </x:row>
    <x:row r="720">
      <x:c r="A720" s="24"/>
      <x:c r="B720" s="24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16"/>
      <x:c r="V720" s="16"/>
      <x:c r="W720" s="16"/>
      <x:c r="X720" s="16"/>
      <x:c r="Y720" s="16"/>
      <x:c r="Z720" s="16"/>
      <x:c r="AA720" s="16"/>
      <x:c r="AB720" s="16"/>
      <x:c r="AC720" s="16"/>
      <x:c r="AD720" s="16"/>
    </x:row>
    <x:row r="721">
      <x:c r="A721" s="24"/>
      <x:c r="B721" s="24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16"/>
      <x:c r="V721" s="16"/>
      <x:c r="W721" s="16"/>
      <x:c r="X721" s="16"/>
      <x:c r="Y721" s="16"/>
      <x:c r="Z721" s="16"/>
      <x:c r="AA721" s="16"/>
      <x:c r="AB721" s="16"/>
      <x:c r="AC721" s="16"/>
      <x:c r="AD721" s="16"/>
    </x:row>
    <x:row r="722">
      <x:c r="A722" s="24"/>
      <x:c r="B722" s="24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16"/>
      <x:c r="V722" s="16"/>
      <x:c r="W722" s="16"/>
      <x:c r="X722" s="16"/>
      <x:c r="Y722" s="16"/>
      <x:c r="Z722" s="16"/>
      <x:c r="AA722" s="16"/>
      <x:c r="AB722" s="16"/>
      <x:c r="AC722" s="16"/>
      <x:c r="AD722" s="16"/>
    </x:row>
    <x:row r="723">
      <x:c r="A723" s="24"/>
      <x:c r="B723" s="24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16"/>
      <x:c r="V723" s="16"/>
      <x:c r="W723" s="16"/>
      <x:c r="X723" s="16"/>
      <x:c r="Y723" s="16"/>
      <x:c r="Z723" s="16"/>
      <x:c r="AA723" s="16"/>
      <x:c r="AB723" s="16"/>
      <x:c r="AC723" s="16"/>
      <x:c r="AD723" s="16"/>
    </x:row>
    <x:row r="724">
      <x:c r="A724" s="24"/>
      <x:c r="B724" s="24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16"/>
      <x:c r="V724" s="16"/>
      <x:c r="W724" s="16"/>
      <x:c r="X724" s="16"/>
      <x:c r="Y724" s="16"/>
      <x:c r="Z724" s="16"/>
      <x:c r="AA724" s="16"/>
      <x:c r="AB724" s="16"/>
      <x:c r="AC724" s="16"/>
      <x:c r="AD724" s="16"/>
    </x:row>
    <x:row r="725">
      <x:c r="A725" s="24"/>
      <x:c r="B725" s="24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16"/>
      <x:c r="V725" s="16"/>
      <x:c r="W725" s="16"/>
      <x:c r="X725" s="16"/>
      <x:c r="Y725" s="16"/>
      <x:c r="Z725" s="16"/>
      <x:c r="AA725" s="16"/>
      <x:c r="AB725" s="16"/>
      <x:c r="AC725" s="16"/>
      <x:c r="AD725" s="16"/>
    </x:row>
    <x:row r="726">
      <x:c r="A726" s="24"/>
      <x:c r="B726" s="24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16"/>
      <x:c r="V726" s="16"/>
      <x:c r="W726" s="16"/>
      <x:c r="X726" s="16"/>
      <x:c r="Y726" s="16"/>
      <x:c r="Z726" s="16"/>
      <x:c r="AA726" s="16"/>
      <x:c r="AB726" s="16"/>
      <x:c r="AC726" s="16"/>
      <x:c r="AD726" s="16"/>
    </x:row>
    <x:row r="727">
      <x:c r="A727" s="24"/>
      <x:c r="B727" s="24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16"/>
      <x:c r="V727" s="16"/>
      <x:c r="W727" s="16"/>
      <x:c r="X727" s="16"/>
      <x:c r="Y727" s="16"/>
      <x:c r="Z727" s="16"/>
      <x:c r="AA727" s="16"/>
      <x:c r="AB727" s="16"/>
      <x:c r="AC727" s="16"/>
      <x:c r="AD727" s="16"/>
    </x:row>
    <x:row r="728">
      <x:c r="A728" s="24"/>
      <x:c r="B728" s="24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16"/>
      <x:c r="V728" s="16"/>
      <x:c r="W728" s="16"/>
      <x:c r="X728" s="16"/>
      <x:c r="Y728" s="16"/>
      <x:c r="Z728" s="16"/>
      <x:c r="AA728" s="16"/>
      <x:c r="AB728" s="16"/>
      <x:c r="AC728" s="16"/>
      <x:c r="AD728" s="16"/>
    </x:row>
    <x:row r="729">
      <x:c r="A729" s="24"/>
      <x:c r="B729" s="24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16"/>
      <x:c r="V729" s="16"/>
      <x:c r="W729" s="16"/>
      <x:c r="X729" s="16"/>
      <x:c r="Y729" s="16"/>
      <x:c r="Z729" s="16"/>
      <x:c r="AA729" s="16"/>
      <x:c r="AB729" s="16"/>
      <x:c r="AC729" s="16"/>
      <x:c r="AD729" s="16"/>
    </x:row>
    <x:row r="730">
      <x:c r="A730" s="24"/>
      <x:c r="B730" s="24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16"/>
      <x:c r="V730" s="16"/>
      <x:c r="W730" s="16"/>
      <x:c r="X730" s="16"/>
      <x:c r="Y730" s="16"/>
      <x:c r="Z730" s="16"/>
      <x:c r="AA730" s="16"/>
      <x:c r="AB730" s="16"/>
      <x:c r="AC730" s="16"/>
      <x:c r="AD730" s="16"/>
    </x:row>
    <x:row r="731">
      <x:c r="A731" s="24"/>
      <x:c r="B731" s="24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16"/>
      <x:c r="V731" s="16"/>
      <x:c r="W731" s="16"/>
      <x:c r="X731" s="16"/>
      <x:c r="Y731" s="16"/>
      <x:c r="Z731" s="16"/>
      <x:c r="AA731" s="16"/>
      <x:c r="AB731" s="16"/>
      <x:c r="AC731" s="16"/>
      <x:c r="AD731" s="16"/>
    </x:row>
    <x:row r="732">
      <x:c r="A732" s="24"/>
      <x:c r="B732" s="24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16"/>
      <x:c r="V732" s="16"/>
      <x:c r="W732" s="16"/>
      <x:c r="X732" s="16"/>
      <x:c r="Y732" s="16"/>
      <x:c r="Z732" s="16"/>
      <x:c r="AA732" s="16"/>
      <x:c r="AB732" s="16"/>
      <x:c r="AC732" s="16"/>
      <x:c r="AD732" s="16"/>
    </x:row>
    <x:row r="733">
      <x:c r="A733" s="24"/>
      <x:c r="B733" s="24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16"/>
      <x:c r="V733" s="16"/>
      <x:c r="W733" s="16"/>
      <x:c r="X733" s="16"/>
      <x:c r="Y733" s="16"/>
      <x:c r="Z733" s="16"/>
      <x:c r="AA733" s="16"/>
      <x:c r="AB733" s="16"/>
      <x:c r="AC733" s="16"/>
      <x:c r="AD733" s="16"/>
    </x:row>
    <x:row r="734">
      <x:c r="A734" s="24"/>
      <x:c r="B734" s="24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16"/>
      <x:c r="V734" s="16"/>
      <x:c r="W734" s="16"/>
      <x:c r="X734" s="16"/>
      <x:c r="Y734" s="16"/>
      <x:c r="Z734" s="16"/>
      <x:c r="AA734" s="16"/>
      <x:c r="AB734" s="16"/>
      <x:c r="AC734" s="16"/>
      <x:c r="AD734" s="16"/>
    </x:row>
    <x:row r="735">
      <x:c r="A735" s="24"/>
      <x:c r="B735" s="24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16"/>
      <x:c r="V735" s="16"/>
      <x:c r="W735" s="16"/>
      <x:c r="X735" s="16"/>
      <x:c r="Y735" s="16"/>
      <x:c r="Z735" s="16"/>
      <x:c r="AA735" s="16"/>
      <x:c r="AB735" s="16"/>
      <x:c r="AC735" s="16"/>
      <x:c r="AD735" s="16"/>
    </x:row>
    <x:row r="736">
      <x:c r="A736" s="24"/>
      <x:c r="B736" s="24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16"/>
      <x:c r="V736" s="16"/>
      <x:c r="W736" s="16"/>
      <x:c r="X736" s="16"/>
      <x:c r="Y736" s="16"/>
      <x:c r="Z736" s="16"/>
      <x:c r="AA736" s="16"/>
      <x:c r="AB736" s="16"/>
      <x:c r="AC736" s="16"/>
      <x:c r="AD736" s="16"/>
    </x:row>
    <x:row r="737">
      <x:c r="A737" s="24"/>
      <x:c r="B737" s="24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16"/>
      <x:c r="V737" s="16"/>
      <x:c r="W737" s="16"/>
      <x:c r="X737" s="16"/>
      <x:c r="Y737" s="16"/>
      <x:c r="Z737" s="16"/>
      <x:c r="AA737" s="16"/>
      <x:c r="AB737" s="16"/>
      <x:c r="AC737" s="16"/>
      <x:c r="AD737" s="16"/>
    </x:row>
    <x:row r="738">
      <x:c r="A738" s="24"/>
      <x:c r="B738" s="24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16"/>
      <x:c r="V738" s="16"/>
      <x:c r="W738" s="16"/>
      <x:c r="X738" s="16"/>
      <x:c r="Y738" s="16"/>
      <x:c r="Z738" s="16"/>
      <x:c r="AA738" s="16"/>
      <x:c r="AB738" s="16"/>
      <x:c r="AC738" s="16"/>
      <x:c r="AD738" s="16"/>
    </x:row>
    <x:row r="739">
      <x:c r="A739" s="24"/>
      <x:c r="B739" s="24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16"/>
      <x:c r="V739" s="16"/>
      <x:c r="W739" s="16"/>
      <x:c r="X739" s="16"/>
      <x:c r="Y739" s="16"/>
      <x:c r="Z739" s="16"/>
      <x:c r="AA739" s="16"/>
      <x:c r="AB739" s="16"/>
      <x:c r="AC739" s="16"/>
      <x:c r="AD739" s="16"/>
    </x:row>
    <x:row r="740">
      <x:c r="A740" s="24"/>
      <x:c r="B740" s="24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16"/>
      <x:c r="V740" s="16"/>
      <x:c r="W740" s="16"/>
      <x:c r="X740" s="16"/>
      <x:c r="Y740" s="16"/>
      <x:c r="Z740" s="16"/>
      <x:c r="AA740" s="16"/>
      <x:c r="AB740" s="16"/>
      <x:c r="AC740" s="16"/>
      <x:c r="AD740" s="16"/>
    </x:row>
    <x:row r="741">
      <x:c r="A741" s="24"/>
      <x:c r="B741" s="24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16"/>
      <x:c r="V741" s="16"/>
      <x:c r="W741" s="16"/>
      <x:c r="X741" s="16"/>
      <x:c r="Y741" s="16"/>
      <x:c r="Z741" s="16"/>
      <x:c r="AA741" s="16"/>
      <x:c r="AB741" s="16"/>
      <x:c r="AC741" s="16"/>
      <x:c r="AD741" s="16"/>
    </x:row>
    <x:row r="742">
      <x:c r="A742" s="24"/>
      <x:c r="B742" s="24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16"/>
      <x:c r="V742" s="16"/>
      <x:c r="W742" s="16"/>
      <x:c r="X742" s="16"/>
      <x:c r="Y742" s="16"/>
      <x:c r="Z742" s="16"/>
      <x:c r="AA742" s="16"/>
      <x:c r="AB742" s="16"/>
      <x:c r="AC742" s="16"/>
      <x:c r="AD742" s="16"/>
    </x:row>
    <x:row r="743">
      <x:c r="A743" s="24"/>
      <x:c r="B743" s="24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16"/>
      <x:c r="V743" s="16"/>
      <x:c r="W743" s="16"/>
      <x:c r="X743" s="16"/>
      <x:c r="Y743" s="16"/>
      <x:c r="Z743" s="16"/>
      <x:c r="AA743" s="16"/>
      <x:c r="AB743" s="16"/>
      <x:c r="AC743" s="16"/>
      <x:c r="AD743" s="16"/>
    </x:row>
    <x:row r="744">
      <x:c r="A744" s="24"/>
      <x:c r="B744" s="24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16"/>
      <x:c r="V744" s="16"/>
      <x:c r="W744" s="16"/>
      <x:c r="X744" s="16"/>
      <x:c r="Y744" s="16"/>
      <x:c r="Z744" s="16"/>
      <x:c r="AA744" s="16"/>
      <x:c r="AB744" s="16"/>
      <x:c r="AC744" s="16"/>
      <x:c r="AD744" s="16"/>
    </x:row>
    <x:row r="745">
      <x:c r="A745" s="24"/>
      <x:c r="B745" s="24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16"/>
      <x:c r="V745" s="16"/>
      <x:c r="W745" s="16"/>
      <x:c r="X745" s="16"/>
      <x:c r="Y745" s="16"/>
      <x:c r="Z745" s="16"/>
      <x:c r="AA745" s="16"/>
      <x:c r="AB745" s="16"/>
      <x:c r="AC745" s="16"/>
      <x:c r="AD745" s="16"/>
    </x:row>
    <x:row r="746">
      <x:c r="A746" s="24"/>
      <x:c r="B746" s="24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16"/>
      <x:c r="V746" s="16"/>
      <x:c r="W746" s="16"/>
      <x:c r="X746" s="16"/>
      <x:c r="Y746" s="16"/>
      <x:c r="Z746" s="16"/>
      <x:c r="AA746" s="16"/>
      <x:c r="AB746" s="16"/>
      <x:c r="AC746" s="16"/>
      <x:c r="AD746" s="16"/>
    </x:row>
    <x:row r="747">
      <x:c r="A747" s="24"/>
      <x:c r="B747" s="24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16"/>
      <x:c r="V747" s="16"/>
      <x:c r="W747" s="16"/>
      <x:c r="X747" s="16"/>
      <x:c r="Y747" s="16"/>
      <x:c r="Z747" s="16"/>
      <x:c r="AA747" s="16"/>
      <x:c r="AB747" s="16"/>
      <x:c r="AC747" s="16"/>
      <x:c r="AD747" s="16"/>
    </x:row>
    <x:row r="748">
      <x:c r="A748" s="24"/>
      <x:c r="B748" s="24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16"/>
      <x:c r="V748" s="16"/>
      <x:c r="W748" s="16"/>
      <x:c r="X748" s="16"/>
      <x:c r="Y748" s="16"/>
      <x:c r="Z748" s="16"/>
      <x:c r="AA748" s="16"/>
      <x:c r="AB748" s="16"/>
      <x:c r="AC748" s="16"/>
      <x:c r="AD748" s="16"/>
    </x:row>
    <x:row r="749">
      <x:c r="A749" s="24"/>
      <x:c r="B749" s="24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16"/>
      <x:c r="V749" s="16"/>
      <x:c r="W749" s="16"/>
      <x:c r="X749" s="16"/>
      <x:c r="Y749" s="16"/>
      <x:c r="Z749" s="16"/>
      <x:c r="AA749" s="16"/>
      <x:c r="AB749" s="16"/>
      <x:c r="AC749" s="16"/>
      <x:c r="AD749" s="16"/>
    </x:row>
    <x:row r="750">
      <x:c r="A750" s="24"/>
      <x:c r="B750" s="24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16"/>
      <x:c r="V750" s="16"/>
      <x:c r="W750" s="16"/>
      <x:c r="X750" s="16"/>
      <x:c r="Y750" s="16"/>
      <x:c r="Z750" s="16"/>
      <x:c r="AA750" s="16"/>
      <x:c r="AB750" s="16"/>
      <x:c r="AC750" s="16"/>
      <x:c r="AD750" s="16"/>
    </x:row>
    <x:row r="751">
      <x:c r="A751" s="24"/>
      <x:c r="B751" s="24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16"/>
      <x:c r="V751" s="16"/>
      <x:c r="W751" s="16"/>
      <x:c r="X751" s="16"/>
      <x:c r="Y751" s="16"/>
      <x:c r="Z751" s="16"/>
      <x:c r="AA751" s="16"/>
      <x:c r="AB751" s="16"/>
      <x:c r="AC751" s="16"/>
      <x:c r="AD751" s="16"/>
    </x:row>
    <x:row r="752">
      <x:c r="A752" s="24"/>
      <x:c r="B752" s="24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16"/>
      <x:c r="V752" s="16"/>
      <x:c r="W752" s="16"/>
      <x:c r="X752" s="16"/>
      <x:c r="Y752" s="16"/>
      <x:c r="Z752" s="16"/>
      <x:c r="AA752" s="16"/>
      <x:c r="AB752" s="16"/>
      <x:c r="AC752" s="16"/>
      <x:c r="AD752" s="16"/>
    </x:row>
    <x:row r="753">
      <x:c r="A753" s="24"/>
      <x:c r="B753" s="24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16"/>
      <x:c r="V753" s="16"/>
      <x:c r="W753" s="16"/>
      <x:c r="X753" s="16"/>
      <x:c r="Y753" s="16"/>
      <x:c r="Z753" s="16"/>
      <x:c r="AA753" s="16"/>
      <x:c r="AB753" s="16"/>
      <x:c r="AC753" s="16"/>
      <x:c r="AD753" s="16"/>
    </x:row>
    <x:row r="754">
      <x:c r="A754" s="24"/>
      <x:c r="B754" s="24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16"/>
      <x:c r="V754" s="16"/>
      <x:c r="W754" s="16"/>
      <x:c r="X754" s="16"/>
      <x:c r="Y754" s="16"/>
      <x:c r="Z754" s="16"/>
      <x:c r="AA754" s="16"/>
      <x:c r="AB754" s="16"/>
      <x:c r="AC754" s="16"/>
      <x:c r="AD754" s="16"/>
    </x:row>
    <x:row r="755">
      <x:c r="A755" s="24"/>
      <x:c r="B755" s="24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16"/>
      <x:c r="V755" s="16"/>
      <x:c r="W755" s="16"/>
      <x:c r="X755" s="16"/>
      <x:c r="Y755" s="16"/>
      <x:c r="Z755" s="16"/>
      <x:c r="AA755" s="16"/>
      <x:c r="AB755" s="16"/>
      <x:c r="AC755" s="16"/>
      <x:c r="AD755" s="16"/>
    </x:row>
    <x:row r="756">
      <x:c r="A756" s="24"/>
      <x:c r="B756" s="24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16"/>
      <x:c r="V756" s="16"/>
      <x:c r="W756" s="16"/>
      <x:c r="X756" s="16"/>
      <x:c r="Y756" s="16"/>
      <x:c r="Z756" s="16"/>
      <x:c r="AA756" s="16"/>
      <x:c r="AB756" s="16"/>
      <x:c r="AC756" s="16"/>
      <x:c r="AD756" s="16"/>
    </x:row>
    <x:row r="757">
      <x:c r="A757" s="24"/>
      <x:c r="B757" s="24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16"/>
      <x:c r="V757" s="16"/>
      <x:c r="W757" s="16"/>
      <x:c r="X757" s="16"/>
      <x:c r="Y757" s="16"/>
      <x:c r="Z757" s="16"/>
      <x:c r="AA757" s="16"/>
      <x:c r="AB757" s="16"/>
      <x:c r="AC757" s="16"/>
      <x:c r="AD757" s="16"/>
    </x:row>
    <x:row r="758">
      <x:c r="A758" s="24"/>
      <x:c r="B758" s="24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16"/>
      <x:c r="V758" s="16"/>
      <x:c r="W758" s="16"/>
      <x:c r="X758" s="16"/>
      <x:c r="Y758" s="16"/>
      <x:c r="Z758" s="16"/>
      <x:c r="AA758" s="16"/>
      <x:c r="AB758" s="16"/>
      <x:c r="AC758" s="16"/>
      <x:c r="AD758" s="16"/>
    </x:row>
    <x:row r="759">
      <x:c r="A759" s="24"/>
      <x:c r="B759" s="24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16"/>
      <x:c r="V759" s="16"/>
      <x:c r="W759" s="16"/>
      <x:c r="X759" s="16"/>
      <x:c r="Y759" s="16"/>
      <x:c r="Z759" s="16"/>
      <x:c r="AA759" s="16"/>
      <x:c r="AB759" s="16"/>
      <x:c r="AC759" s="16"/>
      <x:c r="AD759" s="16"/>
    </x:row>
    <x:row r="760">
      <x:c r="A760" s="24"/>
      <x:c r="B760" s="24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16"/>
      <x:c r="V760" s="16"/>
      <x:c r="W760" s="16"/>
      <x:c r="X760" s="16"/>
      <x:c r="Y760" s="16"/>
      <x:c r="Z760" s="16"/>
      <x:c r="AA760" s="16"/>
      <x:c r="AB760" s="16"/>
      <x:c r="AC760" s="16"/>
      <x:c r="AD760" s="16"/>
    </x:row>
    <x:row r="761">
      <x:c r="A761" s="24"/>
      <x:c r="B761" s="24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16"/>
      <x:c r="V761" s="16"/>
      <x:c r="W761" s="16"/>
      <x:c r="X761" s="16"/>
      <x:c r="Y761" s="16"/>
      <x:c r="Z761" s="16"/>
      <x:c r="AA761" s="16"/>
      <x:c r="AB761" s="16"/>
      <x:c r="AC761" s="16"/>
      <x:c r="AD761" s="16"/>
    </x:row>
    <x:row r="762">
      <x:c r="A762" s="24"/>
      <x:c r="B762" s="24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16"/>
      <x:c r="V762" s="16"/>
      <x:c r="W762" s="16"/>
      <x:c r="X762" s="16"/>
      <x:c r="Y762" s="16"/>
      <x:c r="Z762" s="16"/>
      <x:c r="AA762" s="16"/>
      <x:c r="AB762" s="16"/>
      <x:c r="AC762" s="16"/>
      <x:c r="AD762" s="16"/>
    </x:row>
    <x:row r="763">
      <x:c r="A763" s="24"/>
      <x:c r="B763" s="24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16"/>
      <x:c r="V763" s="16"/>
      <x:c r="W763" s="16"/>
      <x:c r="X763" s="16"/>
      <x:c r="Y763" s="16"/>
      <x:c r="Z763" s="16"/>
      <x:c r="AA763" s="16"/>
      <x:c r="AB763" s="16"/>
      <x:c r="AC763" s="16"/>
      <x:c r="AD763" s="16"/>
    </x:row>
    <x:row r="764">
      <x:c r="A764" s="24"/>
      <x:c r="B764" s="24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16"/>
      <x:c r="V764" s="16"/>
      <x:c r="W764" s="16"/>
      <x:c r="X764" s="16"/>
      <x:c r="Y764" s="16"/>
      <x:c r="Z764" s="16"/>
      <x:c r="AA764" s="16"/>
      <x:c r="AB764" s="16"/>
      <x:c r="AC764" s="16"/>
      <x:c r="AD764" s="16"/>
    </x:row>
    <x:row r="765">
      <x:c r="A765" s="24"/>
      <x:c r="B765" s="24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16"/>
      <x:c r="V765" s="16"/>
      <x:c r="W765" s="16"/>
      <x:c r="X765" s="16"/>
      <x:c r="Y765" s="16"/>
      <x:c r="Z765" s="16"/>
      <x:c r="AA765" s="16"/>
      <x:c r="AB765" s="16"/>
      <x:c r="AC765" s="16"/>
      <x:c r="AD765" s="16"/>
    </x:row>
    <x:row r="766">
      <x:c r="A766" s="24"/>
      <x:c r="B766" s="24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16"/>
      <x:c r="V766" s="16"/>
      <x:c r="W766" s="16"/>
      <x:c r="X766" s="16"/>
      <x:c r="Y766" s="16"/>
      <x:c r="Z766" s="16"/>
      <x:c r="AA766" s="16"/>
      <x:c r="AB766" s="16"/>
      <x:c r="AC766" s="16"/>
      <x:c r="AD766" s="16"/>
    </x:row>
    <x:row r="767">
      <x:c r="A767" s="24"/>
      <x:c r="B767" s="24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16"/>
      <x:c r="V767" s="16"/>
      <x:c r="W767" s="16"/>
      <x:c r="X767" s="16"/>
      <x:c r="Y767" s="16"/>
      <x:c r="Z767" s="16"/>
      <x:c r="AA767" s="16"/>
      <x:c r="AB767" s="16"/>
      <x:c r="AC767" s="16"/>
      <x:c r="AD767" s="16"/>
    </x:row>
    <x:row r="768">
      <x:c r="A768" s="24"/>
      <x:c r="B768" s="24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16"/>
      <x:c r="V768" s="16"/>
      <x:c r="W768" s="16"/>
      <x:c r="X768" s="16"/>
      <x:c r="Y768" s="16"/>
      <x:c r="Z768" s="16"/>
      <x:c r="AA768" s="16"/>
      <x:c r="AB768" s="16"/>
      <x:c r="AC768" s="16"/>
      <x:c r="AD768" s="16"/>
    </x:row>
    <x:row r="769">
      <x:c r="A769" s="24"/>
      <x:c r="B769" s="24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16"/>
      <x:c r="V769" s="16"/>
      <x:c r="W769" s="16"/>
      <x:c r="X769" s="16"/>
      <x:c r="Y769" s="16"/>
      <x:c r="Z769" s="16"/>
      <x:c r="AA769" s="16"/>
      <x:c r="AB769" s="16"/>
      <x:c r="AC769" s="16"/>
      <x:c r="AD769" s="16"/>
    </x:row>
    <x:row r="770">
      <x:c r="A770" s="24"/>
      <x:c r="B770" s="24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16"/>
      <x:c r="V770" s="16"/>
      <x:c r="W770" s="16"/>
      <x:c r="X770" s="16"/>
      <x:c r="Y770" s="16"/>
      <x:c r="Z770" s="16"/>
      <x:c r="AA770" s="16"/>
      <x:c r="AB770" s="16"/>
      <x:c r="AC770" s="16"/>
      <x:c r="AD770" s="16"/>
    </x:row>
    <x:row r="771">
      <x:c r="A771" s="24"/>
      <x:c r="B771" s="24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16"/>
      <x:c r="V771" s="16"/>
      <x:c r="W771" s="16"/>
      <x:c r="X771" s="16"/>
      <x:c r="Y771" s="16"/>
      <x:c r="Z771" s="16"/>
      <x:c r="AA771" s="16"/>
      <x:c r="AB771" s="16"/>
      <x:c r="AC771" s="16"/>
      <x:c r="AD771" s="16"/>
    </x:row>
    <x:row r="772">
      <x:c r="A772" s="24"/>
      <x:c r="B772" s="24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16"/>
      <x:c r="V772" s="16"/>
      <x:c r="W772" s="16"/>
      <x:c r="X772" s="16"/>
      <x:c r="Y772" s="16"/>
      <x:c r="Z772" s="16"/>
      <x:c r="AA772" s="16"/>
      <x:c r="AB772" s="16"/>
      <x:c r="AC772" s="16"/>
      <x:c r="AD772" s="16"/>
    </x:row>
    <x:row r="773">
      <x:c r="A773" s="24"/>
      <x:c r="B773" s="24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16"/>
      <x:c r="V773" s="16"/>
      <x:c r="W773" s="16"/>
      <x:c r="X773" s="16"/>
      <x:c r="Y773" s="16"/>
      <x:c r="Z773" s="16"/>
      <x:c r="AA773" s="16"/>
      <x:c r="AB773" s="16"/>
      <x:c r="AC773" s="16"/>
      <x:c r="AD773" s="16"/>
    </x:row>
    <x:row r="774">
      <x:c r="A774" s="24"/>
      <x:c r="B774" s="24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16"/>
      <x:c r="V774" s="16"/>
      <x:c r="W774" s="16"/>
      <x:c r="X774" s="16"/>
      <x:c r="Y774" s="16"/>
      <x:c r="Z774" s="16"/>
      <x:c r="AA774" s="16"/>
      <x:c r="AB774" s="16"/>
      <x:c r="AC774" s="16"/>
      <x:c r="AD774" s="16"/>
    </x:row>
    <x:row r="775">
      <x:c r="A775" s="24"/>
      <x:c r="B775" s="24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16"/>
      <x:c r="V775" s="16"/>
      <x:c r="W775" s="16"/>
      <x:c r="X775" s="16"/>
      <x:c r="Y775" s="16"/>
      <x:c r="Z775" s="16"/>
      <x:c r="AA775" s="16"/>
      <x:c r="AB775" s="16"/>
      <x:c r="AC775" s="16"/>
      <x:c r="AD775" s="16"/>
    </x:row>
    <x:row r="776">
      <x:c r="A776" s="24"/>
      <x:c r="B776" s="24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16"/>
      <x:c r="V776" s="16"/>
      <x:c r="W776" s="16"/>
      <x:c r="X776" s="16"/>
      <x:c r="Y776" s="16"/>
      <x:c r="Z776" s="16"/>
      <x:c r="AA776" s="16"/>
      <x:c r="AB776" s="16"/>
      <x:c r="AC776" s="16"/>
      <x:c r="AD776" s="16"/>
    </x:row>
    <x:row r="777">
      <x:c r="A777" s="24"/>
      <x:c r="B777" s="24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16"/>
      <x:c r="V777" s="16"/>
      <x:c r="W777" s="16"/>
      <x:c r="X777" s="16"/>
      <x:c r="Y777" s="16"/>
      <x:c r="Z777" s="16"/>
      <x:c r="AA777" s="16"/>
      <x:c r="AB777" s="16"/>
      <x:c r="AC777" s="16"/>
      <x:c r="AD777" s="16"/>
    </x:row>
    <x:row r="778">
      <x:c r="A778" s="24"/>
      <x:c r="B778" s="24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16"/>
      <x:c r="V778" s="16"/>
      <x:c r="W778" s="16"/>
      <x:c r="X778" s="16"/>
      <x:c r="Y778" s="16"/>
      <x:c r="Z778" s="16"/>
      <x:c r="AA778" s="16"/>
      <x:c r="AB778" s="16"/>
      <x:c r="AC778" s="16"/>
      <x:c r="AD778" s="16"/>
    </x:row>
    <x:row r="779">
      <x:c r="A779" s="24"/>
      <x:c r="B779" s="24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16"/>
      <x:c r="V779" s="16"/>
      <x:c r="W779" s="16"/>
      <x:c r="X779" s="16"/>
      <x:c r="Y779" s="16"/>
      <x:c r="Z779" s="16"/>
      <x:c r="AA779" s="16"/>
      <x:c r="AB779" s="16"/>
      <x:c r="AC779" s="16"/>
      <x:c r="AD779" s="16"/>
    </x:row>
    <x:row r="780">
      <x:c r="A780" s="24"/>
      <x:c r="B780" s="24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16"/>
      <x:c r="V780" s="16"/>
      <x:c r="W780" s="16"/>
      <x:c r="X780" s="16"/>
      <x:c r="Y780" s="16"/>
      <x:c r="Z780" s="16"/>
      <x:c r="AA780" s="16"/>
      <x:c r="AB780" s="16"/>
      <x:c r="AC780" s="16"/>
      <x:c r="AD780" s="16"/>
    </x:row>
    <x:row r="781">
      <x:c r="A781" s="24"/>
      <x:c r="B781" s="24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16"/>
      <x:c r="V781" s="16"/>
      <x:c r="W781" s="16"/>
      <x:c r="X781" s="16"/>
      <x:c r="Y781" s="16"/>
      <x:c r="Z781" s="16"/>
      <x:c r="AA781" s="16"/>
      <x:c r="AB781" s="16"/>
      <x:c r="AC781" s="16"/>
      <x:c r="AD781" s="16"/>
    </x:row>
    <x:row r="782">
      <x:c r="A782" s="24"/>
      <x:c r="B782" s="24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16"/>
      <x:c r="V782" s="16"/>
      <x:c r="W782" s="16"/>
      <x:c r="X782" s="16"/>
      <x:c r="Y782" s="16"/>
      <x:c r="Z782" s="16"/>
      <x:c r="AA782" s="16"/>
      <x:c r="AB782" s="16"/>
      <x:c r="AC782" s="16"/>
      <x:c r="AD782" s="16"/>
    </x:row>
    <x:row r="783">
      <x:c r="A783" s="24"/>
      <x:c r="B783" s="24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16"/>
      <x:c r="V783" s="16"/>
      <x:c r="W783" s="16"/>
      <x:c r="X783" s="16"/>
      <x:c r="Y783" s="16"/>
      <x:c r="Z783" s="16"/>
      <x:c r="AA783" s="16"/>
      <x:c r="AB783" s="16"/>
      <x:c r="AC783" s="16"/>
      <x:c r="AD783" s="16"/>
    </x:row>
    <x:row r="784">
      <x:c r="A784" s="24"/>
      <x:c r="B784" s="24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16"/>
      <x:c r="V784" s="16"/>
      <x:c r="W784" s="16"/>
      <x:c r="X784" s="16"/>
      <x:c r="Y784" s="16"/>
      <x:c r="Z784" s="16"/>
      <x:c r="AA784" s="16"/>
      <x:c r="AB784" s="16"/>
      <x:c r="AC784" s="16"/>
      <x:c r="AD784" s="16"/>
    </x:row>
    <x:row r="785">
      <x:c r="A785" s="24"/>
      <x:c r="B785" s="24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16"/>
      <x:c r="V785" s="16"/>
      <x:c r="W785" s="16"/>
      <x:c r="X785" s="16"/>
      <x:c r="Y785" s="16"/>
      <x:c r="Z785" s="16"/>
      <x:c r="AA785" s="16"/>
      <x:c r="AB785" s="16"/>
      <x:c r="AC785" s="16"/>
      <x:c r="AD785" s="16"/>
    </x:row>
    <x:row r="786">
      <x:c r="A786" s="24"/>
      <x:c r="B786" s="24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16"/>
      <x:c r="V786" s="16"/>
      <x:c r="W786" s="16"/>
      <x:c r="X786" s="16"/>
      <x:c r="Y786" s="16"/>
      <x:c r="Z786" s="16"/>
      <x:c r="AA786" s="16"/>
      <x:c r="AB786" s="16"/>
      <x:c r="AC786" s="16"/>
      <x:c r="AD786" s="16"/>
    </x:row>
    <x:row r="787">
      <x:c r="A787" s="24"/>
      <x:c r="B787" s="24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16"/>
      <x:c r="V787" s="16"/>
      <x:c r="W787" s="16"/>
      <x:c r="X787" s="16"/>
      <x:c r="Y787" s="16"/>
      <x:c r="Z787" s="16"/>
      <x:c r="AA787" s="16"/>
      <x:c r="AB787" s="16"/>
      <x:c r="AC787" s="16"/>
      <x:c r="AD787" s="16"/>
    </x:row>
    <x:row r="788">
      <x:c r="A788" s="24"/>
      <x:c r="B788" s="24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16"/>
      <x:c r="V788" s="16"/>
      <x:c r="W788" s="16"/>
      <x:c r="X788" s="16"/>
      <x:c r="Y788" s="16"/>
      <x:c r="Z788" s="16"/>
      <x:c r="AA788" s="16"/>
      <x:c r="AB788" s="16"/>
      <x:c r="AC788" s="16"/>
      <x:c r="AD788" s="16"/>
    </x:row>
    <x:row r="789">
      <x:c r="A789" s="24"/>
      <x:c r="B789" s="24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16"/>
      <x:c r="V789" s="16"/>
      <x:c r="W789" s="16"/>
      <x:c r="X789" s="16"/>
      <x:c r="Y789" s="16"/>
      <x:c r="Z789" s="16"/>
      <x:c r="AA789" s="16"/>
      <x:c r="AB789" s="16"/>
      <x:c r="AC789" s="16"/>
      <x:c r="AD789" s="16"/>
    </x:row>
    <x:row r="790">
      <x:c r="A790" s="24"/>
      <x:c r="B790" s="24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16"/>
      <x:c r="V790" s="16"/>
      <x:c r="W790" s="16"/>
      <x:c r="X790" s="16"/>
      <x:c r="Y790" s="16"/>
      <x:c r="Z790" s="16"/>
      <x:c r="AA790" s="16"/>
      <x:c r="AB790" s="16"/>
      <x:c r="AC790" s="16"/>
      <x:c r="AD790" s="16"/>
    </x:row>
    <x:row r="791">
      <x:c r="A791" s="24"/>
      <x:c r="B791" s="24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16"/>
      <x:c r="V791" s="16"/>
      <x:c r="W791" s="16"/>
      <x:c r="X791" s="16"/>
      <x:c r="Y791" s="16"/>
      <x:c r="Z791" s="16"/>
      <x:c r="AA791" s="16"/>
      <x:c r="AB791" s="16"/>
      <x:c r="AC791" s="16"/>
      <x:c r="AD791" s="16"/>
    </x:row>
    <x:row r="792">
      <x:c r="A792" s="24"/>
      <x:c r="B792" s="24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16"/>
      <x:c r="V792" s="16"/>
      <x:c r="W792" s="16"/>
      <x:c r="X792" s="16"/>
      <x:c r="Y792" s="16"/>
      <x:c r="Z792" s="16"/>
      <x:c r="AA792" s="16"/>
      <x:c r="AB792" s="16"/>
      <x:c r="AC792" s="16"/>
      <x:c r="AD792" s="16"/>
    </x:row>
    <x:row r="793">
      <x:c r="A793" s="24"/>
      <x:c r="B793" s="24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16"/>
      <x:c r="V793" s="16"/>
      <x:c r="W793" s="16"/>
      <x:c r="X793" s="16"/>
      <x:c r="Y793" s="16"/>
      <x:c r="Z793" s="16"/>
      <x:c r="AA793" s="16"/>
      <x:c r="AB793" s="16"/>
      <x:c r="AC793" s="16"/>
      <x:c r="AD793" s="16"/>
    </x:row>
    <x:row r="794">
      <x:c r="A794" s="24"/>
      <x:c r="B794" s="24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16"/>
      <x:c r="V794" s="16"/>
      <x:c r="W794" s="16"/>
      <x:c r="X794" s="16"/>
      <x:c r="Y794" s="16"/>
      <x:c r="Z794" s="16"/>
      <x:c r="AA794" s="16"/>
      <x:c r="AB794" s="16"/>
      <x:c r="AC794" s="16"/>
      <x:c r="AD794" s="16"/>
    </x:row>
    <x:row r="795">
      <x:c r="A795" s="24"/>
      <x:c r="B795" s="24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16"/>
      <x:c r="V795" s="16"/>
      <x:c r="W795" s="16"/>
      <x:c r="X795" s="16"/>
      <x:c r="Y795" s="16"/>
      <x:c r="Z795" s="16"/>
      <x:c r="AA795" s="16"/>
      <x:c r="AB795" s="16"/>
      <x:c r="AC795" s="16"/>
      <x:c r="AD795" s="16"/>
    </x:row>
    <x:row r="796">
      <x:c r="A796" s="24"/>
      <x:c r="B796" s="24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16"/>
      <x:c r="V796" s="16"/>
      <x:c r="W796" s="16"/>
      <x:c r="X796" s="16"/>
      <x:c r="Y796" s="16"/>
      <x:c r="Z796" s="16"/>
      <x:c r="AA796" s="16"/>
      <x:c r="AB796" s="16"/>
      <x:c r="AC796" s="16"/>
      <x:c r="AD796" s="16"/>
    </x:row>
    <x:row r="797">
      <x:c r="A797" s="24"/>
      <x:c r="B797" s="24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16"/>
      <x:c r="V797" s="16"/>
      <x:c r="W797" s="16"/>
      <x:c r="X797" s="16"/>
      <x:c r="Y797" s="16"/>
      <x:c r="Z797" s="16"/>
      <x:c r="AA797" s="16"/>
      <x:c r="AB797" s="16"/>
      <x:c r="AC797" s="16"/>
      <x:c r="AD797" s="16"/>
    </x:row>
    <x:row r="798">
      <x:c r="A798" s="24"/>
      <x:c r="B798" s="24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16"/>
      <x:c r="V798" s="16"/>
      <x:c r="W798" s="16"/>
      <x:c r="X798" s="16"/>
      <x:c r="Y798" s="16"/>
      <x:c r="Z798" s="16"/>
      <x:c r="AA798" s="16"/>
      <x:c r="AB798" s="16"/>
      <x:c r="AC798" s="16"/>
      <x:c r="AD798" s="16"/>
    </x:row>
    <x:row r="799">
      <x:c r="A799" s="24"/>
      <x:c r="B799" s="24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16"/>
      <x:c r="V799" s="16"/>
      <x:c r="W799" s="16"/>
      <x:c r="X799" s="16"/>
      <x:c r="Y799" s="16"/>
      <x:c r="Z799" s="16"/>
      <x:c r="AA799" s="16"/>
      <x:c r="AB799" s="16"/>
      <x:c r="AC799" s="16"/>
      <x:c r="AD799" s="16"/>
    </x:row>
    <x:row r="800">
      <x:c r="A800" s="24"/>
      <x:c r="B800" s="24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16"/>
      <x:c r="V800" s="16"/>
      <x:c r="W800" s="16"/>
      <x:c r="X800" s="16"/>
      <x:c r="Y800" s="16"/>
      <x:c r="Z800" s="16"/>
      <x:c r="AA800" s="16"/>
      <x:c r="AB800" s="16"/>
      <x:c r="AC800" s="16"/>
      <x:c r="AD800" s="16"/>
    </x:row>
    <x:row r="801">
      <x:c r="A801" s="24"/>
      <x:c r="B801" s="24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16"/>
      <x:c r="V801" s="16"/>
      <x:c r="W801" s="16"/>
      <x:c r="X801" s="16"/>
      <x:c r="Y801" s="16"/>
      <x:c r="Z801" s="16"/>
      <x:c r="AA801" s="16"/>
      <x:c r="AB801" s="16"/>
      <x:c r="AC801" s="16"/>
      <x:c r="AD801" s="16"/>
    </x:row>
    <x:row r="802">
      <x:c r="A802" s="24"/>
      <x:c r="B802" s="24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16"/>
      <x:c r="V802" s="16"/>
      <x:c r="W802" s="16"/>
      <x:c r="X802" s="16"/>
      <x:c r="Y802" s="16"/>
      <x:c r="Z802" s="16"/>
      <x:c r="AA802" s="16"/>
      <x:c r="AB802" s="16"/>
      <x:c r="AC802" s="16"/>
      <x:c r="AD802" s="16"/>
    </x:row>
    <x:row r="803">
      <x:c r="A803" s="24"/>
      <x:c r="B803" s="24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16"/>
      <x:c r="V803" s="16"/>
      <x:c r="W803" s="16"/>
      <x:c r="X803" s="16"/>
      <x:c r="Y803" s="16"/>
      <x:c r="Z803" s="16"/>
      <x:c r="AA803" s="16"/>
      <x:c r="AB803" s="16"/>
      <x:c r="AC803" s="16"/>
      <x:c r="AD803" s="16"/>
    </x:row>
    <x:row r="804">
      <x:c r="A804" s="24"/>
      <x:c r="B804" s="24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16"/>
      <x:c r="V804" s="16"/>
      <x:c r="W804" s="16"/>
      <x:c r="X804" s="16"/>
      <x:c r="Y804" s="16"/>
      <x:c r="Z804" s="16"/>
      <x:c r="AA804" s="16"/>
      <x:c r="AB804" s="16"/>
      <x:c r="AC804" s="16"/>
      <x:c r="AD804" s="16"/>
    </x:row>
    <x:row r="805">
      <x:c r="A805" s="24"/>
      <x:c r="B805" s="24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16"/>
      <x:c r="V805" s="16"/>
      <x:c r="W805" s="16"/>
      <x:c r="X805" s="16"/>
      <x:c r="Y805" s="16"/>
      <x:c r="Z805" s="16"/>
      <x:c r="AA805" s="16"/>
      <x:c r="AB805" s="16"/>
      <x:c r="AC805" s="16"/>
      <x:c r="AD805" s="16"/>
    </x:row>
    <x:row r="806">
      <x:c r="A806" s="24"/>
      <x:c r="B806" s="24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16"/>
      <x:c r="V806" s="16"/>
      <x:c r="W806" s="16"/>
      <x:c r="X806" s="16"/>
      <x:c r="Y806" s="16"/>
      <x:c r="Z806" s="16"/>
      <x:c r="AA806" s="16"/>
      <x:c r="AB806" s="16"/>
      <x:c r="AC806" s="16"/>
      <x:c r="AD806" s="16"/>
    </x:row>
    <x:row r="807">
      <x:c r="A807" s="24"/>
      <x:c r="B807" s="24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16"/>
      <x:c r="V807" s="16"/>
      <x:c r="W807" s="16"/>
      <x:c r="X807" s="16"/>
      <x:c r="Y807" s="16"/>
      <x:c r="Z807" s="16"/>
      <x:c r="AA807" s="16"/>
      <x:c r="AB807" s="16"/>
      <x:c r="AC807" s="16"/>
      <x:c r="AD807" s="16"/>
    </x:row>
    <x:row r="808">
      <x:c r="A808" s="24"/>
      <x:c r="B808" s="24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16"/>
      <x:c r="V808" s="16"/>
      <x:c r="W808" s="16"/>
      <x:c r="X808" s="16"/>
      <x:c r="Y808" s="16"/>
      <x:c r="Z808" s="16"/>
      <x:c r="AA808" s="16"/>
      <x:c r="AB808" s="16"/>
      <x:c r="AC808" s="16"/>
      <x:c r="AD808" s="16"/>
    </x:row>
    <x:row r="809">
      <x:c r="A809" s="24"/>
      <x:c r="B809" s="24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16"/>
      <x:c r="V809" s="16"/>
      <x:c r="W809" s="16"/>
      <x:c r="X809" s="16"/>
      <x:c r="Y809" s="16"/>
      <x:c r="Z809" s="16"/>
      <x:c r="AA809" s="16"/>
      <x:c r="AB809" s="16"/>
      <x:c r="AC809" s="16"/>
      <x:c r="AD809" s="16"/>
    </x:row>
    <x:row r="810">
      <x:c r="A810" s="24"/>
      <x:c r="B810" s="24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16"/>
      <x:c r="V810" s="16"/>
      <x:c r="W810" s="16"/>
      <x:c r="X810" s="16"/>
      <x:c r="Y810" s="16"/>
      <x:c r="Z810" s="16"/>
      <x:c r="AA810" s="16"/>
      <x:c r="AB810" s="16"/>
      <x:c r="AC810" s="16"/>
      <x:c r="AD810" s="16"/>
    </x:row>
    <x:row r="811">
      <x:c r="A811" s="24"/>
      <x:c r="B811" s="24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16"/>
      <x:c r="V811" s="16"/>
      <x:c r="W811" s="16"/>
      <x:c r="X811" s="16"/>
      <x:c r="Y811" s="16"/>
      <x:c r="Z811" s="16"/>
      <x:c r="AA811" s="16"/>
      <x:c r="AB811" s="16"/>
      <x:c r="AC811" s="16"/>
      <x:c r="AD811" s="16"/>
    </x:row>
    <x:row r="812">
      <x:c r="A812" s="24"/>
      <x:c r="B812" s="24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16"/>
      <x:c r="V812" s="16"/>
      <x:c r="W812" s="16"/>
      <x:c r="X812" s="16"/>
      <x:c r="Y812" s="16"/>
      <x:c r="Z812" s="16"/>
      <x:c r="AA812" s="16"/>
      <x:c r="AB812" s="16"/>
      <x:c r="AC812" s="16"/>
      <x:c r="AD812" s="16"/>
    </x:row>
    <x:row r="813">
      <x:c r="A813" s="24"/>
      <x:c r="B813" s="24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16"/>
      <x:c r="V813" s="16"/>
      <x:c r="W813" s="16"/>
      <x:c r="X813" s="16"/>
      <x:c r="Y813" s="16"/>
      <x:c r="Z813" s="16"/>
      <x:c r="AA813" s="16"/>
      <x:c r="AB813" s="16"/>
      <x:c r="AC813" s="16"/>
      <x:c r="AD813" s="16"/>
    </x:row>
    <x:row r="814">
      <x:c r="A814" s="24"/>
      <x:c r="B814" s="24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16"/>
      <x:c r="V814" s="16"/>
      <x:c r="W814" s="16"/>
      <x:c r="X814" s="16"/>
      <x:c r="Y814" s="16"/>
      <x:c r="Z814" s="16"/>
      <x:c r="AA814" s="16"/>
      <x:c r="AB814" s="16"/>
      <x:c r="AC814" s="16"/>
      <x:c r="AD814" s="16"/>
    </x:row>
    <x:row r="815">
      <x:c r="A815" s="24"/>
      <x:c r="B815" s="24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16"/>
      <x:c r="V815" s="16"/>
      <x:c r="W815" s="16"/>
      <x:c r="X815" s="16"/>
      <x:c r="Y815" s="16"/>
      <x:c r="Z815" s="16"/>
      <x:c r="AA815" s="16"/>
      <x:c r="AB815" s="16"/>
      <x:c r="AC815" s="16"/>
      <x:c r="AD815" s="16"/>
    </x:row>
    <x:row r="816">
      <x:c r="A816" s="24"/>
      <x:c r="B816" s="24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16"/>
      <x:c r="V816" s="16"/>
      <x:c r="W816" s="16"/>
      <x:c r="X816" s="16"/>
      <x:c r="Y816" s="16"/>
      <x:c r="Z816" s="16"/>
      <x:c r="AA816" s="16"/>
      <x:c r="AB816" s="16"/>
      <x:c r="AC816" s="16"/>
      <x:c r="AD816" s="16"/>
    </x:row>
    <x:row r="817">
      <x:c r="A817" s="24"/>
      <x:c r="B817" s="24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16"/>
      <x:c r="V817" s="16"/>
      <x:c r="W817" s="16"/>
      <x:c r="X817" s="16"/>
      <x:c r="Y817" s="16"/>
      <x:c r="Z817" s="16"/>
      <x:c r="AA817" s="16"/>
      <x:c r="AB817" s="16"/>
      <x:c r="AC817" s="16"/>
      <x:c r="AD817" s="16"/>
    </x:row>
    <x:row r="818">
      <x:c r="A818" s="24"/>
      <x:c r="B818" s="24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16"/>
      <x:c r="V818" s="16"/>
      <x:c r="W818" s="16"/>
      <x:c r="X818" s="16"/>
      <x:c r="Y818" s="16"/>
      <x:c r="Z818" s="16"/>
      <x:c r="AA818" s="16"/>
      <x:c r="AB818" s="16"/>
      <x:c r="AC818" s="16"/>
      <x:c r="AD818" s="16"/>
    </x:row>
    <x:row r="819">
      <x:c r="A819" s="24"/>
      <x:c r="B819" s="24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16"/>
      <x:c r="V819" s="16"/>
      <x:c r="W819" s="16"/>
      <x:c r="X819" s="16"/>
      <x:c r="Y819" s="16"/>
      <x:c r="Z819" s="16"/>
      <x:c r="AA819" s="16"/>
      <x:c r="AB819" s="16"/>
      <x:c r="AC819" s="16"/>
      <x:c r="AD819" s="16"/>
    </x:row>
    <x:row r="820">
      <x:c r="A820" s="24"/>
      <x:c r="B820" s="24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16"/>
      <x:c r="V820" s="16"/>
      <x:c r="W820" s="16"/>
      <x:c r="X820" s="16"/>
      <x:c r="Y820" s="16"/>
      <x:c r="Z820" s="16"/>
      <x:c r="AA820" s="16"/>
      <x:c r="AB820" s="16"/>
      <x:c r="AC820" s="16"/>
      <x:c r="AD820" s="16"/>
    </x:row>
    <x:row r="821">
      <x:c r="A821" s="24"/>
      <x:c r="B821" s="24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16"/>
      <x:c r="V821" s="16"/>
      <x:c r="W821" s="16"/>
      <x:c r="X821" s="16"/>
      <x:c r="Y821" s="16"/>
      <x:c r="Z821" s="16"/>
      <x:c r="AA821" s="16"/>
      <x:c r="AB821" s="16"/>
      <x:c r="AC821" s="16"/>
      <x:c r="AD821" s="16"/>
    </x:row>
    <x:row r="822">
      <x:c r="A822" s="24"/>
      <x:c r="B822" s="24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16"/>
      <x:c r="V822" s="16"/>
      <x:c r="W822" s="16"/>
      <x:c r="X822" s="16"/>
      <x:c r="Y822" s="16"/>
      <x:c r="Z822" s="16"/>
      <x:c r="AA822" s="16"/>
      <x:c r="AB822" s="16"/>
      <x:c r="AC822" s="16"/>
      <x:c r="AD822" s="16"/>
    </x:row>
    <x:row r="823">
      <x:c r="A823" s="24"/>
      <x:c r="B823" s="24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16"/>
      <x:c r="V823" s="16"/>
      <x:c r="W823" s="16"/>
      <x:c r="X823" s="16"/>
      <x:c r="Y823" s="16"/>
      <x:c r="Z823" s="16"/>
      <x:c r="AA823" s="16"/>
      <x:c r="AB823" s="16"/>
      <x:c r="AC823" s="16"/>
      <x:c r="AD823" s="16"/>
    </x:row>
    <x:row r="824">
      <x:c r="A824" s="24"/>
      <x:c r="B824" s="24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16"/>
      <x:c r="V824" s="16"/>
      <x:c r="W824" s="16"/>
      <x:c r="X824" s="16"/>
      <x:c r="Y824" s="16"/>
      <x:c r="Z824" s="16"/>
      <x:c r="AA824" s="16"/>
      <x:c r="AB824" s="16"/>
      <x:c r="AC824" s="16"/>
      <x:c r="AD824" s="16"/>
    </x:row>
    <x:row r="825">
      <x:c r="A825" s="24"/>
      <x:c r="B825" s="24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16"/>
      <x:c r="V825" s="16"/>
      <x:c r="W825" s="16"/>
      <x:c r="X825" s="16"/>
      <x:c r="Y825" s="16"/>
      <x:c r="Z825" s="16"/>
      <x:c r="AA825" s="16"/>
      <x:c r="AB825" s="16"/>
      <x:c r="AC825" s="16"/>
      <x:c r="AD825" s="16"/>
    </x:row>
    <x:row r="826">
      <x:c r="A826" s="24"/>
      <x:c r="B826" s="24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16"/>
      <x:c r="V826" s="16"/>
      <x:c r="W826" s="16"/>
      <x:c r="X826" s="16"/>
      <x:c r="Y826" s="16"/>
      <x:c r="Z826" s="16"/>
      <x:c r="AA826" s="16"/>
      <x:c r="AB826" s="16"/>
      <x:c r="AC826" s="16"/>
      <x:c r="AD826" s="16"/>
    </x:row>
    <x:row r="827">
      <x:c r="A827" s="24"/>
      <x:c r="B827" s="24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16"/>
      <x:c r="V827" s="16"/>
      <x:c r="W827" s="16"/>
      <x:c r="X827" s="16"/>
      <x:c r="Y827" s="16"/>
      <x:c r="Z827" s="16"/>
      <x:c r="AA827" s="16"/>
      <x:c r="AB827" s="16"/>
      <x:c r="AC827" s="16"/>
      <x:c r="AD827" s="16"/>
    </x:row>
    <x:row r="828">
      <x:c r="A828" s="24"/>
      <x:c r="B828" s="24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16"/>
      <x:c r="V828" s="16"/>
      <x:c r="W828" s="16"/>
      <x:c r="X828" s="16"/>
      <x:c r="Y828" s="16"/>
      <x:c r="Z828" s="16"/>
      <x:c r="AA828" s="16"/>
      <x:c r="AB828" s="16"/>
      <x:c r="AC828" s="16"/>
      <x:c r="AD828" s="16"/>
    </x:row>
    <x:row r="829">
      <x:c r="A829" s="24"/>
      <x:c r="B829" s="24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16"/>
      <x:c r="V829" s="16"/>
      <x:c r="W829" s="16"/>
      <x:c r="X829" s="16"/>
      <x:c r="Y829" s="16"/>
      <x:c r="Z829" s="16"/>
      <x:c r="AA829" s="16"/>
      <x:c r="AB829" s="16"/>
      <x:c r="AC829" s="16"/>
      <x:c r="AD829" s="16"/>
    </x:row>
    <x:row r="830">
      <x:c r="A830" s="24"/>
      <x:c r="B830" s="24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16"/>
      <x:c r="V830" s="16"/>
      <x:c r="W830" s="16"/>
      <x:c r="X830" s="16"/>
      <x:c r="Y830" s="16"/>
      <x:c r="Z830" s="16"/>
      <x:c r="AA830" s="16"/>
      <x:c r="AB830" s="16"/>
      <x:c r="AC830" s="16"/>
      <x:c r="AD830" s="16"/>
    </x:row>
    <x:row r="831">
      <x:c r="A831" s="24"/>
      <x:c r="B831" s="24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16"/>
      <x:c r="V831" s="16"/>
      <x:c r="W831" s="16"/>
      <x:c r="X831" s="16"/>
      <x:c r="Y831" s="16"/>
      <x:c r="Z831" s="16"/>
      <x:c r="AA831" s="16"/>
      <x:c r="AB831" s="16"/>
      <x:c r="AC831" s="16"/>
      <x:c r="AD831" s="16"/>
    </x:row>
    <x:row r="832">
      <x:c r="A832" s="24"/>
      <x:c r="B832" s="24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16"/>
      <x:c r="V832" s="16"/>
      <x:c r="W832" s="16"/>
      <x:c r="X832" s="16"/>
      <x:c r="Y832" s="16"/>
      <x:c r="Z832" s="16"/>
      <x:c r="AA832" s="16"/>
      <x:c r="AB832" s="16"/>
      <x:c r="AC832" s="16"/>
      <x:c r="AD832" s="16"/>
    </x:row>
    <x:row r="833">
      <x:c r="A833" s="24"/>
      <x:c r="B833" s="24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16"/>
      <x:c r="V833" s="16"/>
      <x:c r="W833" s="16"/>
      <x:c r="X833" s="16"/>
      <x:c r="Y833" s="16"/>
      <x:c r="Z833" s="16"/>
      <x:c r="AA833" s="16"/>
      <x:c r="AB833" s="16"/>
      <x:c r="AC833" s="16"/>
      <x:c r="AD833" s="16"/>
    </x:row>
    <x:row r="834">
      <x:c r="A834" s="24"/>
      <x:c r="B834" s="24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16"/>
      <x:c r="V834" s="16"/>
      <x:c r="W834" s="16"/>
      <x:c r="X834" s="16"/>
      <x:c r="Y834" s="16"/>
      <x:c r="Z834" s="16"/>
      <x:c r="AA834" s="16"/>
      <x:c r="AB834" s="16"/>
      <x:c r="AC834" s="16"/>
      <x:c r="AD834" s="16"/>
    </x:row>
    <x:row r="835">
      <x:c r="A835" s="24"/>
      <x:c r="B835" s="24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16"/>
      <x:c r="V835" s="16"/>
      <x:c r="W835" s="16"/>
      <x:c r="X835" s="16"/>
      <x:c r="Y835" s="16"/>
      <x:c r="Z835" s="16"/>
      <x:c r="AA835" s="16"/>
      <x:c r="AB835" s="16"/>
      <x:c r="AC835" s="16"/>
      <x:c r="AD835" s="16"/>
    </x:row>
    <x:row r="836">
      <x:c r="A836" s="24"/>
      <x:c r="B836" s="24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16"/>
      <x:c r="V836" s="16"/>
      <x:c r="W836" s="16"/>
      <x:c r="X836" s="16"/>
      <x:c r="Y836" s="16"/>
      <x:c r="Z836" s="16"/>
      <x:c r="AA836" s="16"/>
      <x:c r="AB836" s="16"/>
      <x:c r="AC836" s="16"/>
      <x:c r="AD836" s="16"/>
    </x:row>
    <x:row r="837">
      <x:c r="A837" s="24"/>
      <x:c r="B837" s="24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16"/>
      <x:c r="V837" s="16"/>
      <x:c r="W837" s="16"/>
      <x:c r="X837" s="16"/>
      <x:c r="Y837" s="16"/>
      <x:c r="Z837" s="16"/>
      <x:c r="AA837" s="16"/>
      <x:c r="AB837" s="16"/>
      <x:c r="AC837" s="16"/>
      <x:c r="AD837" s="16"/>
    </x:row>
    <x:row r="838">
      <x:c r="A838" s="24"/>
      <x:c r="B838" s="24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16"/>
      <x:c r="V838" s="16"/>
      <x:c r="W838" s="16"/>
      <x:c r="X838" s="16"/>
      <x:c r="Y838" s="16"/>
      <x:c r="Z838" s="16"/>
      <x:c r="AA838" s="16"/>
      <x:c r="AB838" s="16"/>
      <x:c r="AC838" s="16"/>
      <x:c r="AD838" s="16"/>
    </x:row>
    <x:row r="839">
      <x:c r="A839" s="24"/>
      <x:c r="B839" s="24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16"/>
      <x:c r="V839" s="16"/>
      <x:c r="W839" s="16"/>
      <x:c r="X839" s="16"/>
      <x:c r="Y839" s="16"/>
      <x:c r="Z839" s="16"/>
      <x:c r="AA839" s="16"/>
      <x:c r="AB839" s="16"/>
      <x:c r="AC839" s="16"/>
      <x:c r="AD839" s="16"/>
    </x:row>
    <x:row r="840">
      <x:c r="A840" s="24"/>
      <x:c r="B840" s="24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16"/>
      <x:c r="V840" s="16"/>
      <x:c r="W840" s="16"/>
      <x:c r="X840" s="16"/>
      <x:c r="Y840" s="16"/>
      <x:c r="Z840" s="16"/>
      <x:c r="AA840" s="16"/>
      <x:c r="AB840" s="16"/>
      <x:c r="AC840" s="16"/>
      <x:c r="AD840" s="16"/>
    </x:row>
    <x:row r="841">
      <x:c r="A841" s="24"/>
      <x:c r="B841" s="24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16"/>
      <x:c r="V841" s="16"/>
      <x:c r="W841" s="16"/>
      <x:c r="X841" s="16"/>
      <x:c r="Y841" s="16"/>
      <x:c r="Z841" s="16"/>
      <x:c r="AA841" s="16"/>
      <x:c r="AB841" s="16"/>
      <x:c r="AC841" s="16"/>
      <x:c r="AD841" s="16"/>
    </x:row>
    <x:row r="842">
      <x:c r="A842" s="24"/>
      <x:c r="B842" s="24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16"/>
      <x:c r="V842" s="16"/>
      <x:c r="W842" s="16"/>
      <x:c r="X842" s="16"/>
      <x:c r="Y842" s="16"/>
      <x:c r="Z842" s="16"/>
      <x:c r="AA842" s="16"/>
      <x:c r="AB842" s="16"/>
      <x:c r="AC842" s="16"/>
      <x:c r="AD842" s="16"/>
    </x:row>
    <x:row r="843">
      <x:c r="A843" s="24"/>
      <x:c r="B843" s="24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16"/>
      <x:c r="V843" s="16"/>
      <x:c r="W843" s="16"/>
      <x:c r="X843" s="16"/>
      <x:c r="Y843" s="16"/>
      <x:c r="Z843" s="16"/>
      <x:c r="AA843" s="16"/>
      <x:c r="AB843" s="16"/>
      <x:c r="AC843" s="16"/>
      <x:c r="AD843" s="16"/>
    </x:row>
    <x:row r="844">
      <x:c r="A844" s="24"/>
      <x:c r="B844" s="24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16"/>
      <x:c r="V844" s="16"/>
      <x:c r="W844" s="16"/>
      <x:c r="X844" s="16"/>
      <x:c r="Y844" s="16"/>
      <x:c r="Z844" s="16"/>
      <x:c r="AA844" s="16"/>
      <x:c r="AB844" s="16"/>
      <x:c r="AC844" s="16"/>
      <x:c r="AD844" s="16"/>
    </x:row>
    <x:row r="845">
      <x:c r="A845" s="24"/>
      <x:c r="B845" s="24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16"/>
      <x:c r="V845" s="16"/>
      <x:c r="W845" s="16"/>
      <x:c r="X845" s="16"/>
      <x:c r="Y845" s="16"/>
      <x:c r="Z845" s="16"/>
      <x:c r="AA845" s="16"/>
      <x:c r="AB845" s="16"/>
      <x:c r="AC845" s="16"/>
      <x:c r="AD845" s="16"/>
    </x:row>
    <x:row r="846">
      <x:c r="A846" s="24"/>
      <x:c r="B846" s="24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16"/>
      <x:c r="V846" s="16"/>
      <x:c r="W846" s="16"/>
      <x:c r="X846" s="16"/>
      <x:c r="Y846" s="16"/>
      <x:c r="Z846" s="16"/>
      <x:c r="AA846" s="16"/>
      <x:c r="AB846" s="16"/>
      <x:c r="AC846" s="16"/>
      <x:c r="AD846" s="16"/>
    </x:row>
    <x:row r="847">
      <x:c r="A847" s="24"/>
      <x:c r="B847" s="24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16"/>
      <x:c r="V847" s="16"/>
      <x:c r="W847" s="16"/>
      <x:c r="X847" s="16"/>
      <x:c r="Y847" s="16"/>
      <x:c r="Z847" s="16"/>
      <x:c r="AA847" s="16"/>
      <x:c r="AB847" s="16"/>
      <x:c r="AC847" s="16"/>
      <x:c r="AD847" s="16"/>
    </x:row>
    <x:row r="848">
      <x:c r="A848" s="24"/>
      <x:c r="B848" s="24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16"/>
      <x:c r="V848" s="16"/>
      <x:c r="W848" s="16"/>
      <x:c r="X848" s="16"/>
      <x:c r="Y848" s="16"/>
      <x:c r="Z848" s="16"/>
      <x:c r="AA848" s="16"/>
      <x:c r="AB848" s="16"/>
      <x:c r="AC848" s="16"/>
      <x:c r="AD848" s="16"/>
    </x:row>
    <x:row r="849">
      <x:c r="A849" s="24"/>
      <x:c r="B849" s="24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16"/>
      <x:c r="V849" s="16"/>
      <x:c r="W849" s="16"/>
      <x:c r="X849" s="16"/>
      <x:c r="Y849" s="16"/>
      <x:c r="Z849" s="16"/>
      <x:c r="AA849" s="16"/>
      <x:c r="AB849" s="16"/>
      <x:c r="AC849" s="16"/>
      <x:c r="AD849" s="16"/>
    </x:row>
    <x:row r="850">
      <x:c r="A850" s="24"/>
      <x:c r="B850" s="24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16"/>
      <x:c r="V850" s="16"/>
      <x:c r="W850" s="16"/>
      <x:c r="X850" s="16"/>
      <x:c r="Y850" s="16"/>
      <x:c r="Z850" s="16"/>
      <x:c r="AA850" s="16"/>
      <x:c r="AB850" s="16"/>
      <x:c r="AC850" s="16"/>
      <x:c r="AD850" s="16"/>
    </x:row>
    <x:row r="851">
      <x:c r="A851" s="24"/>
      <x:c r="B851" s="24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16"/>
      <x:c r="V851" s="16"/>
      <x:c r="W851" s="16"/>
      <x:c r="X851" s="16"/>
      <x:c r="Y851" s="16"/>
      <x:c r="Z851" s="16"/>
      <x:c r="AA851" s="16"/>
      <x:c r="AB851" s="16"/>
      <x:c r="AC851" s="16"/>
      <x:c r="AD851" s="16"/>
    </x:row>
    <x:row r="852">
      <x:c r="A852" s="24"/>
      <x:c r="B852" s="24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16"/>
      <x:c r="V852" s="16"/>
      <x:c r="W852" s="16"/>
      <x:c r="X852" s="16"/>
      <x:c r="Y852" s="16"/>
      <x:c r="Z852" s="16"/>
      <x:c r="AA852" s="16"/>
      <x:c r="AB852" s="16"/>
      <x:c r="AC852" s="16"/>
      <x:c r="AD852" s="16"/>
    </x:row>
    <x:row r="853">
      <x:c r="A853" s="24"/>
      <x:c r="B853" s="24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16"/>
      <x:c r="V853" s="16"/>
      <x:c r="W853" s="16"/>
      <x:c r="X853" s="16"/>
      <x:c r="Y853" s="16"/>
      <x:c r="Z853" s="16"/>
      <x:c r="AA853" s="16"/>
      <x:c r="AB853" s="16"/>
      <x:c r="AC853" s="16"/>
      <x:c r="AD853" s="16"/>
    </x:row>
    <x:row r="854">
      <x:c r="A854" s="24"/>
      <x:c r="B854" s="24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16"/>
      <x:c r="V854" s="16"/>
      <x:c r="W854" s="16"/>
      <x:c r="X854" s="16"/>
      <x:c r="Y854" s="16"/>
      <x:c r="Z854" s="16"/>
      <x:c r="AA854" s="16"/>
      <x:c r="AB854" s="16"/>
      <x:c r="AC854" s="16"/>
      <x:c r="AD854" s="16"/>
    </x:row>
    <x:row r="855">
      <x:c r="A855" s="24"/>
      <x:c r="B855" s="24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16"/>
      <x:c r="V855" s="16"/>
      <x:c r="W855" s="16"/>
      <x:c r="X855" s="16"/>
      <x:c r="Y855" s="16"/>
      <x:c r="Z855" s="16"/>
      <x:c r="AA855" s="16"/>
      <x:c r="AB855" s="16"/>
      <x:c r="AC855" s="16"/>
      <x:c r="AD855" s="16"/>
    </x:row>
    <x:row r="856">
      <x:c r="A856" s="24"/>
      <x:c r="B856" s="24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16"/>
      <x:c r="V856" s="16"/>
      <x:c r="W856" s="16"/>
      <x:c r="X856" s="16"/>
      <x:c r="Y856" s="16"/>
      <x:c r="Z856" s="16"/>
      <x:c r="AA856" s="16"/>
      <x:c r="AB856" s="16"/>
      <x:c r="AC856" s="16"/>
      <x:c r="AD856" s="16"/>
    </x:row>
    <x:row r="857">
      <x:c r="A857" s="24"/>
      <x:c r="B857" s="24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16"/>
      <x:c r="V857" s="16"/>
      <x:c r="W857" s="16"/>
      <x:c r="X857" s="16"/>
      <x:c r="Y857" s="16"/>
      <x:c r="Z857" s="16"/>
      <x:c r="AA857" s="16"/>
      <x:c r="AB857" s="16"/>
      <x:c r="AC857" s="16"/>
      <x:c r="AD857" s="16"/>
    </x:row>
    <x:row r="858">
      <x:c r="A858" s="24"/>
      <x:c r="B858" s="24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16"/>
      <x:c r="V858" s="16"/>
      <x:c r="W858" s="16"/>
      <x:c r="X858" s="16"/>
      <x:c r="Y858" s="16"/>
      <x:c r="Z858" s="16"/>
      <x:c r="AA858" s="16"/>
      <x:c r="AB858" s="16"/>
      <x:c r="AC858" s="16"/>
      <x:c r="AD858" s="16"/>
    </x:row>
    <x:row r="859">
      <x:c r="A859" s="24"/>
      <x:c r="B859" s="24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16"/>
      <x:c r="V859" s="16"/>
      <x:c r="W859" s="16"/>
      <x:c r="X859" s="16"/>
      <x:c r="Y859" s="16"/>
      <x:c r="Z859" s="16"/>
      <x:c r="AA859" s="16"/>
      <x:c r="AB859" s="16"/>
      <x:c r="AC859" s="16"/>
      <x:c r="AD859" s="16"/>
    </x:row>
    <x:row r="860">
      <x:c r="A860" s="24"/>
      <x:c r="B860" s="24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16"/>
      <x:c r="V860" s="16"/>
      <x:c r="W860" s="16"/>
      <x:c r="X860" s="16"/>
      <x:c r="Y860" s="16"/>
      <x:c r="Z860" s="16"/>
      <x:c r="AA860" s="16"/>
      <x:c r="AB860" s="16"/>
      <x:c r="AC860" s="16"/>
      <x:c r="AD860" s="16"/>
    </x:row>
    <x:row r="861">
      <x:c r="A861" s="24"/>
      <x:c r="B861" s="24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16"/>
      <x:c r="V861" s="16"/>
      <x:c r="W861" s="16"/>
      <x:c r="X861" s="16"/>
      <x:c r="Y861" s="16"/>
      <x:c r="Z861" s="16"/>
      <x:c r="AA861" s="16"/>
      <x:c r="AB861" s="16"/>
      <x:c r="AC861" s="16"/>
      <x:c r="AD861" s="16"/>
    </x:row>
    <x:row r="862">
      <x:c r="A862" s="24"/>
      <x:c r="B862" s="24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16"/>
      <x:c r="V862" s="16"/>
      <x:c r="W862" s="16"/>
      <x:c r="X862" s="16"/>
      <x:c r="Y862" s="16"/>
      <x:c r="Z862" s="16"/>
      <x:c r="AA862" s="16"/>
      <x:c r="AB862" s="16"/>
      <x:c r="AC862" s="16"/>
      <x:c r="AD862" s="16"/>
    </x:row>
    <x:row r="863">
      <x:c r="A863" s="24"/>
      <x:c r="B863" s="24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16"/>
      <x:c r="V863" s="16"/>
      <x:c r="W863" s="16"/>
      <x:c r="X863" s="16"/>
      <x:c r="Y863" s="16"/>
      <x:c r="Z863" s="16"/>
      <x:c r="AA863" s="16"/>
      <x:c r="AB863" s="16"/>
      <x:c r="AC863" s="16"/>
      <x:c r="AD863" s="16"/>
    </x:row>
    <x:row r="864">
      <x:c r="A864" s="24"/>
      <x:c r="B864" s="24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16"/>
      <x:c r="V864" s="16"/>
      <x:c r="W864" s="16"/>
      <x:c r="X864" s="16"/>
      <x:c r="Y864" s="16"/>
      <x:c r="Z864" s="16"/>
      <x:c r="AA864" s="16"/>
      <x:c r="AB864" s="16"/>
      <x:c r="AC864" s="16"/>
      <x:c r="AD864" s="16"/>
    </x:row>
    <x:row r="865">
      <x:c r="A865" s="24"/>
      <x:c r="B865" s="24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16"/>
      <x:c r="V865" s="16"/>
      <x:c r="W865" s="16"/>
      <x:c r="X865" s="16"/>
      <x:c r="Y865" s="16"/>
      <x:c r="Z865" s="16"/>
      <x:c r="AA865" s="16"/>
      <x:c r="AB865" s="16"/>
      <x:c r="AC865" s="16"/>
      <x:c r="AD865" s="16"/>
    </x:row>
    <x:row r="866">
      <x:c r="A866" s="24"/>
      <x:c r="B866" s="24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16"/>
      <x:c r="V866" s="16"/>
      <x:c r="W866" s="16"/>
      <x:c r="X866" s="16"/>
      <x:c r="Y866" s="16"/>
      <x:c r="Z866" s="16"/>
      <x:c r="AA866" s="16"/>
      <x:c r="AB866" s="16"/>
      <x:c r="AC866" s="16"/>
      <x:c r="AD866" s="16"/>
    </x:row>
    <x:row r="867">
      <x:c r="A867" s="24"/>
      <x:c r="B867" s="24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16"/>
      <x:c r="V867" s="16"/>
      <x:c r="W867" s="16"/>
      <x:c r="X867" s="16"/>
      <x:c r="Y867" s="16"/>
      <x:c r="Z867" s="16"/>
      <x:c r="AA867" s="16"/>
      <x:c r="AB867" s="16"/>
      <x:c r="AC867" s="16"/>
      <x:c r="AD867" s="16"/>
    </x:row>
    <x:row r="868">
      <x:c r="A868" s="24"/>
      <x:c r="B868" s="24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16"/>
      <x:c r="V868" s="16"/>
      <x:c r="W868" s="16"/>
      <x:c r="X868" s="16"/>
      <x:c r="Y868" s="16"/>
      <x:c r="Z868" s="16"/>
      <x:c r="AA868" s="16"/>
      <x:c r="AB868" s="16"/>
      <x:c r="AC868" s="16"/>
      <x:c r="AD868" s="16"/>
    </x:row>
    <x:row r="869">
      <x:c r="A869" s="24"/>
      <x:c r="B869" s="24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16"/>
      <x:c r="V869" s="16"/>
      <x:c r="W869" s="16"/>
      <x:c r="X869" s="16"/>
      <x:c r="Y869" s="16"/>
      <x:c r="Z869" s="16"/>
      <x:c r="AA869" s="16"/>
      <x:c r="AB869" s="16"/>
      <x:c r="AC869" s="16"/>
      <x:c r="AD869" s="16"/>
    </x:row>
    <x:row r="870">
      <x:c r="A870" s="24"/>
      <x:c r="B870" s="24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16"/>
      <x:c r="V870" s="16"/>
      <x:c r="W870" s="16"/>
      <x:c r="X870" s="16"/>
      <x:c r="Y870" s="16"/>
      <x:c r="Z870" s="16"/>
      <x:c r="AA870" s="16"/>
      <x:c r="AB870" s="16"/>
      <x:c r="AC870" s="16"/>
      <x:c r="AD870" s="16"/>
    </x:row>
    <x:row r="871">
      <x:c r="A871" s="24"/>
      <x:c r="B871" s="24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16"/>
      <x:c r="V871" s="16"/>
      <x:c r="W871" s="16"/>
      <x:c r="X871" s="16"/>
      <x:c r="Y871" s="16"/>
      <x:c r="Z871" s="16"/>
      <x:c r="AA871" s="16"/>
      <x:c r="AB871" s="16"/>
      <x:c r="AC871" s="16"/>
      <x:c r="AD871" s="16"/>
    </x:row>
    <x:row r="872">
      <x:c r="A872" s="24"/>
      <x:c r="B872" s="24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16"/>
      <x:c r="V872" s="16"/>
      <x:c r="W872" s="16"/>
      <x:c r="X872" s="16"/>
      <x:c r="Y872" s="16"/>
      <x:c r="Z872" s="16"/>
      <x:c r="AA872" s="16"/>
      <x:c r="AB872" s="16"/>
      <x:c r="AC872" s="16"/>
      <x:c r="AD872" s="16"/>
    </x:row>
    <x:row r="873">
      <x:c r="A873" s="24"/>
      <x:c r="B873" s="24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16"/>
      <x:c r="V873" s="16"/>
      <x:c r="W873" s="16"/>
      <x:c r="X873" s="16"/>
      <x:c r="Y873" s="16"/>
      <x:c r="Z873" s="16"/>
      <x:c r="AA873" s="16"/>
      <x:c r="AB873" s="16"/>
      <x:c r="AC873" s="16"/>
      <x:c r="AD873" s="16"/>
    </x:row>
    <x:row r="874">
      <x:c r="A874" s="24"/>
      <x:c r="B874" s="24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16"/>
      <x:c r="V874" s="16"/>
      <x:c r="W874" s="16"/>
      <x:c r="X874" s="16"/>
      <x:c r="Y874" s="16"/>
      <x:c r="Z874" s="16"/>
      <x:c r="AA874" s="16"/>
      <x:c r="AB874" s="16"/>
      <x:c r="AC874" s="16"/>
      <x:c r="AD874" s="16"/>
    </x:row>
    <x:row r="875">
      <x:c r="A875" s="24"/>
      <x:c r="B875" s="24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16"/>
      <x:c r="V875" s="16"/>
      <x:c r="W875" s="16"/>
      <x:c r="X875" s="16"/>
      <x:c r="Y875" s="16"/>
      <x:c r="Z875" s="16"/>
      <x:c r="AA875" s="16"/>
      <x:c r="AB875" s="16"/>
      <x:c r="AC875" s="16"/>
      <x:c r="AD875" s="16"/>
    </x:row>
    <x:row r="876">
      <x:c r="A876" s="24"/>
      <x:c r="B876" s="24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16"/>
      <x:c r="V876" s="16"/>
      <x:c r="W876" s="16"/>
      <x:c r="X876" s="16"/>
      <x:c r="Y876" s="16"/>
      <x:c r="Z876" s="16"/>
      <x:c r="AA876" s="16"/>
      <x:c r="AB876" s="16"/>
      <x:c r="AC876" s="16"/>
      <x:c r="AD876" s="16"/>
    </x:row>
    <x:row r="877">
      <x:c r="A877" s="24"/>
      <x:c r="B877" s="24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16"/>
      <x:c r="V877" s="16"/>
      <x:c r="W877" s="16"/>
      <x:c r="X877" s="16"/>
      <x:c r="Y877" s="16"/>
      <x:c r="Z877" s="16"/>
      <x:c r="AA877" s="16"/>
      <x:c r="AB877" s="16"/>
      <x:c r="AC877" s="16"/>
      <x:c r="AD877" s="16"/>
    </x:row>
    <x:row r="878">
      <x:c r="A878" s="24"/>
      <x:c r="B878" s="24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16"/>
      <x:c r="V878" s="16"/>
      <x:c r="W878" s="16"/>
      <x:c r="X878" s="16"/>
      <x:c r="Y878" s="16"/>
      <x:c r="Z878" s="16"/>
      <x:c r="AA878" s="16"/>
      <x:c r="AB878" s="16"/>
      <x:c r="AC878" s="16"/>
      <x:c r="AD878" s="16"/>
    </x:row>
    <x:row r="879">
      <x:c r="A879" s="24"/>
      <x:c r="B879" s="24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16"/>
      <x:c r="V879" s="16"/>
      <x:c r="W879" s="16"/>
      <x:c r="X879" s="16"/>
      <x:c r="Y879" s="16"/>
      <x:c r="Z879" s="16"/>
      <x:c r="AA879" s="16"/>
      <x:c r="AB879" s="16"/>
      <x:c r="AC879" s="16"/>
      <x:c r="AD879" s="16"/>
    </x:row>
    <x:row r="880">
      <x:c r="A880" s="24"/>
      <x:c r="B880" s="24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16"/>
      <x:c r="V880" s="16"/>
      <x:c r="W880" s="16"/>
      <x:c r="X880" s="16"/>
      <x:c r="Y880" s="16"/>
      <x:c r="Z880" s="16"/>
      <x:c r="AA880" s="16"/>
      <x:c r="AB880" s="16"/>
      <x:c r="AC880" s="16"/>
      <x:c r="AD880" s="16"/>
    </x:row>
    <x:row r="881">
      <x:c r="A881" s="24"/>
      <x:c r="B881" s="24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16"/>
      <x:c r="V881" s="16"/>
      <x:c r="W881" s="16"/>
      <x:c r="X881" s="16"/>
      <x:c r="Y881" s="16"/>
      <x:c r="Z881" s="16"/>
      <x:c r="AA881" s="16"/>
      <x:c r="AB881" s="16"/>
      <x:c r="AC881" s="16"/>
      <x:c r="AD881" s="16"/>
    </x:row>
    <x:row r="882">
      <x:c r="A882" s="24"/>
      <x:c r="B882" s="24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16"/>
      <x:c r="V882" s="16"/>
      <x:c r="W882" s="16"/>
      <x:c r="X882" s="16"/>
      <x:c r="Y882" s="16"/>
      <x:c r="Z882" s="16"/>
      <x:c r="AA882" s="16"/>
      <x:c r="AB882" s="16"/>
      <x:c r="AC882" s="16"/>
      <x:c r="AD882" s="16"/>
    </x:row>
    <x:row r="883">
      <x:c r="A883" s="24"/>
      <x:c r="B883" s="24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16"/>
      <x:c r="V883" s="16"/>
      <x:c r="W883" s="16"/>
      <x:c r="X883" s="16"/>
      <x:c r="Y883" s="16"/>
      <x:c r="Z883" s="16"/>
      <x:c r="AA883" s="16"/>
      <x:c r="AB883" s="16"/>
      <x:c r="AC883" s="16"/>
      <x:c r="AD883" s="16"/>
    </x:row>
    <x:row r="884">
      <x:c r="A884" s="24"/>
      <x:c r="B884" s="24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16"/>
      <x:c r="V884" s="16"/>
      <x:c r="W884" s="16"/>
      <x:c r="X884" s="16"/>
      <x:c r="Y884" s="16"/>
      <x:c r="Z884" s="16"/>
      <x:c r="AA884" s="16"/>
      <x:c r="AB884" s="16"/>
      <x:c r="AC884" s="16"/>
      <x:c r="AD884" s="16"/>
    </x:row>
    <x:row r="885">
      <x:c r="A885" s="24"/>
      <x:c r="B885" s="24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16"/>
      <x:c r="V885" s="16"/>
      <x:c r="W885" s="16"/>
      <x:c r="X885" s="16"/>
      <x:c r="Y885" s="16"/>
      <x:c r="Z885" s="16"/>
      <x:c r="AA885" s="16"/>
      <x:c r="AB885" s="16"/>
      <x:c r="AC885" s="16"/>
      <x:c r="AD885" s="16"/>
    </x:row>
    <x:row r="886">
      <x:c r="A886" s="24"/>
      <x:c r="B886" s="24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16"/>
      <x:c r="V886" s="16"/>
      <x:c r="W886" s="16"/>
      <x:c r="X886" s="16"/>
      <x:c r="Y886" s="16"/>
      <x:c r="Z886" s="16"/>
      <x:c r="AA886" s="16"/>
      <x:c r="AB886" s="16"/>
      <x:c r="AC886" s="16"/>
      <x:c r="AD886" s="16"/>
    </x:row>
    <x:row r="887">
      <x:c r="A887" s="24"/>
      <x:c r="B887" s="24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16"/>
      <x:c r="V887" s="16"/>
      <x:c r="W887" s="16"/>
      <x:c r="X887" s="16"/>
      <x:c r="Y887" s="16"/>
      <x:c r="Z887" s="16"/>
      <x:c r="AA887" s="16"/>
      <x:c r="AB887" s="16"/>
      <x:c r="AC887" s="16"/>
      <x:c r="AD887" s="16"/>
    </x:row>
    <x:row r="888">
      <x:c r="A888" s="24"/>
      <x:c r="B888" s="24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16"/>
      <x:c r="V888" s="16"/>
      <x:c r="W888" s="16"/>
      <x:c r="X888" s="16"/>
      <x:c r="Y888" s="16"/>
      <x:c r="Z888" s="16"/>
      <x:c r="AA888" s="16"/>
      <x:c r="AB888" s="16"/>
      <x:c r="AC888" s="16"/>
      <x:c r="AD888" s="16"/>
    </x:row>
    <x:row r="889">
      <x:c r="A889" s="24"/>
      <x:c r="B889" s="24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16"/>
      <x:c r="V889" s="16"/>
      <x:c r="W889" s="16"/>
      <x:c r="X889" s="16"/>
      <x:c r="Y889" s="16"/>
      <x:c r="Z889" s="16"/>
      <x:c r="AA889" s="16"/>
      <x:c r="AB889" s="16"/>
      <x:c r="AC889" s="16"/>
      <x:c r="AD889" s="16"/>
    </x:row>
    <x:row r="890">
      <x:c r="A890" s="24"/>
      <x:c r="B890" s="24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16"/>
      <x:c r="V890" s="16"/>
      <x:c r="W890" s="16"/>
      <x:c r="X890" s="16"/>
      <x:c r="Y890" s="16"/>
      <x:c r="Z890" s="16"/>
      <x:c r="AA890" s="16"/>
      <x:c r="AB890" s="16"/>
      <x:c r="AC890" s="16"/>
      <x:c r="AD890" s="16"/>
    </x:row>
    <x:row r="891">
      <x:c r="A891" s="24"/>
      <x:c r="B891" s="24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16"/>
      <x:c r="V891" s="16"/>
      <x:c r="W891" s="16"/>
      <x:c r="X891" s="16"/>
      <x:c r="Y891" s="16"/>
      <x:c r="Z891" s="16"/>
      <x:c r="AA891" s="16"/>
      <x:c r="AB891" s="16"/>
      <x:c r="AC891" s="16"/>
      <x:c r="AD891" s="16"/>
    </x:row>
    <x:row r="892">
      <x:c r="A892" s="24"/>
      <x:c r="B892" s="24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16"/>
      <x:c r="V892" s="16"/>
      <x:c r="W892" s="16"/>
      <x:c r="X892" s="16"/>
      <x:c r="Y892" s="16"/>
      <x:c r="Z892" s="16"/>
      <x:c r="AA892" s="16"/>
      <x:c r="AB892" s="16"/>
      <x:c r="AC892" s="16"/>
      <x:c r="AD892" s="16"/>
    </x:row>
    <x:row r="893">
      <x:c r="A893" s="24"/>
      <x:c r="B893" s="24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16"/>
      <x:c r="V893" s="16"/>
      <x:c r="W893" s="16"/>
      <x:c r="X893" s="16"/>
      <x:c r="Y893" s="16"/>
      <x:c r="Z893" s="16"/>
      <x:c r="AA893" s="16"/>
      <x:c r="AB893" s="16"/>
      <x:c r="AC893" s="16"/>
      <x:c r="AD893" s="16"/>
    </x:row>
    <x:row r="894">
      <x:c r="A894" s="24"/>
      <x:c r="B894" s="24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16"/>
      <x:c r="V894" s="16"/>
      <x:c r="W894" s="16"/>
      <x:c r="X894" s="16"/>
      <x:c r="Y894" s="16"/>
      <x:c r="Z894" s="16"/>
      <x:c r="AA894" s="16"/>
      <x:c r="AB894" s="16"/>
      <x:c r="AC894" s="16"/>
      <x:c r="AD894" s="16"/>
    </x:row>
    <x:row r="895">
      <x:c r="A895" s="24"/>
      <x:c r="B895" s="24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16"/>
      <x:c r="V895" s="16"/>
      <x:c r="W895" s="16"/>
      <x:c r="X895" s="16"/>
      <x:c r="Y895" s="16"/>
      <x:c r="Z895" s="16"/>
      <x:c r="AA895" s="16"/>
      <x:c r="AB895" s="16"/>
      <x:c r="AC895" s="16"/>
      <x:c r="AD895" s="16"/>
    </x:row>
    <x:row r="896">
      <x:c r="A896" s="24"/>
      <x:c r="B896" s="24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16"/>
      <x:c r="V896" s="16"/>
      <x:c r="W896" s="16"/>
      <x:c r="X896" s="16"/>
      <x:c r="Y896" s="16"/>
      <x:c r="Z896" s="16"/>
      <x:c r="AA896" s="16"/>
      <x:c r="AB896" s="16"/>
      <x:c r="AC896" s="16"/>
      <x:c r="AD896" s="16"/>
    </x:row>
    <x:row r="897">
      <x:c r="A897" s="24"/>
      <x:c r="B897" s="24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16"/>
      <x:c r="V897" s="16"/>
      <x:c r="W897" s="16"/>
      <x:c r="X897" s="16"/>
      <x:c r="Y897" s="16"/>
      <x:c r="Z897" s="16"/>
      <x:c r="AA897" s="16"/>
      <x:c r="AB897" s="16"/>
      <x:c r="AC897" s="16"/>
      <x:c r="AD897" s="16"/>
    </x:row>
    <x:row r="898">
      <x:c r="A898" s="24"/>
      <x:c r="B898" s="24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16"/>
      <x:c r="V898" s="16"/>
      <x:c r="W898" s="16"/>
      <x:c r="X898" s="16"/>
      <x:c r="Y898" s="16"/>
      <x:c r="Z898" s="16"/>
      <x:c r="AA898" s="16"/>
      <x:c r="AB898" s="16"/>
      <x:c r="AC898" s="16"/>
      <x:c r="AD898" s="16"/>
    </x:row>
    <x:row r="899">
      <x:c r="A899" s="24"/>
      <x:c r="B899" s="24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16"/>
      <x:c r="V899" s="16"/>
      <x:c r="W899" s="16"/>
      <x:c r="X899" s="16"/>
      <x:c r="Y899" s="16"/>
      <x:c r="Z899" s="16"/>
      <x:c r="AA899" s="16"/>
      <x:c r="AB899" s="16"/>
      <x:c r="AC899" s="16"/>
      <x:c r="AD899" s="16"/>
    </x:row>
    <x:row r="900">
      <x:c r="A900" s="24"/>
      <x:c r="B900" s="24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16"/>
      <x:c r="V900" s="16"/>
      <x:c r="W900" s="16"/>
      <x:c r="X900" s="16"/>
      <x:c r="Y900" s="16"/>
      <x:c r="Z900" s="16"/>
      <x:c r="AA900" s="16"/>
      <x:c r="AB900" s="16"/>
      <x:c r="AC900" s="16"/>
      <x:c r="AD900" s="16"/>
    </x:row>
    <x:row r="901">
      <x:c r="A901" s="24"/>
      <x:c r="B901" s="24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16"/>
      <x:c r="V901" s="16"/>
      <x:c r="W901" s="16"/>
      <x:c r="X901" s="16"/>
      <x:c r="Y901" s="16"/>
      <x:c r="Z901" s="16"/>
      <x:c r="AA901" s="16"/>
      <x:c r="AB901" s="16"/>
      <x:c r="AC901" s="16"/>
      <x:c r="AD901" s="16"/>
    </x:row>
    <x:row r="902">
      <x:c r="A902" s="24"/>
      <x:c r="B902" s="24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16"/>
      <x:c r="V902" s="16"/>
      <x:c r="W902" s="16"/>
      <x:c r="X902" s="16"/>
      <x:c r="Y902" s="16"/>
      <x:c r="Z902" s="16"/>
      <x:c r="AA902" s="16"/>
      <x:c r="AB902" s="16"/>
      <x:c r="AC902" s="16"/>
      <x:c r="AD902" s="16"/>
    </x:row>
    <x:row r="903">
      <x:c r="A903" s="24"/>
      <x:c r="B903" s="24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16"/>
      <x:c r="V903" s="16"/>
      <x:c r="W903" s="16"/>
      <x:c r="X903" s="16"/>
      <x:c r="Y903" s="16"/>
      <x:c r="Z903" s="16"/>
      <x:c r="AA903" s="16"/>
      <x:c r="AB903" s="16"/>
      <x:c r="AC903" s="16"/>
      <x:c r="AD903" s="16"/>
    </x:row>
    <x:row r="904">
      <x:c r="A904" s="24"/>
      <x:c r="B904" s="24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16"/>
      <x:c r="V904" s="16"/>
      <x:c r="W904" s="16"/>
      <x:c r="X904" s="16"/>
      <x:c r="Y904" s="16"/>
      <x:c r="Z904" s="16"/>
      <x:c r="AA904" s="16"/>
      <x:c r="AB904" s="16"/>
      <x:c r="AC904" s="16"/>
      <x:c r="AD904" s="16"/>
    </x:row>
    <x:row r="905">
      <x:c r="A905" s="24"/>
      <x:c r="B905" s="24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16"/>
      <x:c r="V905" s="16"/>
      <x:c r="W905" s="16"/>
      <x:c r="X905" s="16"/>
      <x:c r="Y905" s="16"/>
      <x:c r="Z905" s="16"/>
      <x:c r="AA905" s="16"/>
      <x:c r="AB905" s="16"/>
      <x:c r="AC905" s="16"/>
      <x:c r="AD905" s="16"/>
    </x:row>
    <x:row r="906">
      <x:c r="A906" s="24"/>
      <x:c r="B906" s="24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16"/>
      <x:c r="V906" s="16"/>
      <x:c r="W906" s="16"/>
      <x:c r="X906" s="16"/>
      <x:c r="Y906" s="16"/>
      <x:c r="Z906" s="16"/>
      <x:c r="AA906" s="16"/>
      <x:c r="AB906" s="16"/>
      <x:c r="AC906" s="16"/>
      <x:c r="AD906" s="16"/>
    </x:row>
    <x:row r="907">
      <x:c r="A907" s="24"/>
      <x:c r="B907" s="24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16"/>
      <x:c r="V907" s="16"/>
      <x:c r="W907" s="16"/>
      <x:c r="X907" s="16"/>
      <x:c r="Y907" s="16"/>
      <x:c r="Z907" s="16"/>
      <x:c r="AA907" s="16"/>
      <x:c r="AB907" s="16"/>
      <x:c r="AC907" s="16"/>
      <x:c r="AD907" s="16"/>
    </x:row>
    <x:row r="908">
      <x:c r="A908" s="24"/>
      <x:c r="B908" s="24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16"/>
      <x:c r="V908" s="16"/>
      <x:c r="W908" s="16"/>
      <x:c r="X908" s="16"/>
      <x:c r="Y908" s="16"/>
      <x:c r="Z908" s="16"/>
      <x:c r="AA908" s="16"/>
      <x:c r="AB908" s="16"/>
      <x:c r="AC908" s="16"/>
      <x:c r="AD908" s="16"/>
    </x:row>
    <x:row r="909">
      <x:c r="A909" s="24"/>
      <x:c r="B909" s="24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16"/>
      <x:c r="V909" s="16"/>
      <x:c r="W909" s="16"/>
      <x:c r="X909" s="16"/>
      <x:c r="Y909" s="16"/>
      <x:c r="Z909" s="16"/>
      <x:c r="AA909" s="16"/>
      <x:c r="AB909" s="16"/>
      <x:c r="AC909" s="16"/>
      <x:c r="AD909" s="16"/>
    </x:row>
    <x:row r="910">
      <x:c r="A910" s="24"/>
      <x:c r="B910" s="24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16"/>
      <x:c r="V910" s="16"/>
      <x:c r="W910" s="16"/>
      <x:c r="X910" s="16"/>
      <x:c r="Y910" s="16"/>
      <x:c r="Z910" s="16"/>
      <x:c r="AA910" s="16"/>
      <x:c r="AB910" s="16"/>
      <x:c r="AC910" s="16"/>
      <x:c r="AD910" s="16"/>
    </x:row>
    <x:row r="911">
      <x:c r="A911" s="24"/>
      <x:c r="B911" s="24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16"/>
      <x:c r="V911" s="16"/>
      <x:c r="W911" s="16"/>
      <x:c r="X911" s="16"/>
      <x:c r="Y911" s="16"/>
      <x:c r="Z911" s="16"/>
      <x:c r="AA911" s="16"/>
      <x:c r="AB911" s="16"/>
      <x:c r="AC911" s="16"/>
      <x:c r="AD911" s="16"/>
    </x:row>
    <x:row r="912">
      <x:c r="A912" s="24"/>
      <x:c r="B912" s="24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16"/>
      <x:c r="V912" s="16"/>
      <x:c r="W912" s="16"/>
      <x:c r="X912" s="16"/>
      <x:c r="Y912" s="16"/>
      <x:c r="Z912" s="16"/>
      <x:c r="AA912" s="16"/>
      <x:c r="AB912" s="16"/>
      <x:c r="AC912" s="16"/>
      <x:c r="AD912" s="16"/>
    </x:row>
    <x:row r="913">
      <x:c r="A913" s="24"/>
      <x:c r="B913" s="24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16"/>
      <x:c r="V913" s="16"/>
      <x:c r="W913" s="16"/>
      <x:c r="X913" s="16"/>
      <x:c r="Y913" s="16"/>
      <x:c r="Z913" s="16"/>
      <x:c r="AA913" s="16"/>
      <x:c r="AB913" s="16"/>
      <x:c r="AC913" s="16"/>
      <x:c r="AD913" s="16"/>
    </x:row>
    <x:row r="914">
      <x:c r="A914" s="24"/>
      <x:c r="B914" s="24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16"/>
      <x:c r="V914" s="16"/>
      <x:c r="W914" s="16"/>
      <x:c r="X914" s="16"/>
      <x:c r="Y914" s="16"/>
      <x:c r="Z914" s="16"/>
      <x:c r="AA914" s="16"/>
      <x:c r="AB914" s="16"/>
      <x:c r="AC914" s="16"/>
      <x:c r="AD914" s="16"/>
    </x:row>
    <x:row r="915">
      <x:c r="A915" s="24"/>
      <x:c r="B915" s="24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16"/>
      <x:c r="V915" s="16"/>
      <x:c r="W915" s="16"/>
      <x:c r="X915" s="16"/>
      <x:c r="Y915" s="16"/>
      <x:c r="Z915" s="16"/>
      <x:c r="AA915" s="16"/>
      <x:c r="AB915" s="16"/>
      <x:c r="AC915" s="16"/>
      <x:c r="AD915" s="16"/>
    </x:row>
    <x:row r="916">
      <x:c r="A916" s="24"/>
      <x:c r="B916" s="24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16"/>
      <x:c r="V916" s="16"/>
      <x:c r="W916" s="16"/>
      <x:c r="X916" s="16"/>
      <x:c r="Y916" s="16"/>
      <x:c r="Z916" s="16"/>
      <x:c r="AA916" s="16"/>
      <x:c r="AB916" s="16"/>
      <x:c r="AC916" s="16"/>
      <x:c r="AD916" s="16"/>
    </x:row>
    <x:row r="917">
      <x:c r="A917" s="24"/>
      <x:c r="B917" s="24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16"/>
      <x:c r="V917" s="16"/>
      <x:c r="W917" s="16"/>
      <x:c r="X917" s="16"/>
      <x:c r="Y917" s="16"/>
      <x:c r="Z917" s="16"/>
      <x:c r="AA917" s="16"/>
      <x:c r="AB917" s="16"/>
      <x:c r="AC917" s="16"/>
      <x:c r="AD917" s="16"/>
    </x:row>
    <x:row r="918">
      <x:c r="A918" s="24"/>
      <x:c r="B918" s="24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16"/>
      <x:c r="V918" s="16"/>
      <x:c r="W918" s="16"/>
      <x:c r="X918" s="16"/>
      <x:c r="Y918" s="16"/>
      <x:c r="Z918" s="16"/>
      <x:c r="AA918" s="16"/>
      <x:c r="AB918" s="16"/>
      <x:c r="AC918" s="16"/>
      <x:c r="AD918" s="16"/>
    </x:row>
    <x:row r="919">
      <x:c r="A919" s="24"/>
      <x:c r="B919" s="24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16"/>
      <x:c r="V919" s="16"/>
      <x:c r="W919" s="16"/>
      <x:c r="X919" s="16"/>
      <x:c r="Y919" s="16"/>
      <x:c r="Z919" s="16"/>
      <x:c r="AA919" s="16"/>
      <x:c r="AB919" s="16"/>
      <x:c r="AC919" s="16"/>
      <x:c r="AD919" s="16"/>
    </x:row>
    <x:row r="920">
      <x:c r="A920" s="24"/>
      <x:c r="B920" s="24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16"/>
      <x:c r="V920" s="16"/>
      <x:c r="W920" s="16"/>
      <x:c r="X920" s="16"/>
      <x:c r="Y920" s="16"/>
      <x:c r="Z920" s="16"/>
      <x:c r="AA920" s="16"/>
      <x:c r="AB920" s="16"/>
      <x:c r="AC920" s="16"/>
      <x:c r="AD920" s="16"/>
    </x:row>
    <x:row r="921">
      <x:c r="A921" s="24"/>
      <x:c r="B921" s="24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16"/>
      <x:c r="V921" s="16"/>
      <x:c r="W921" s="16"/>
      <x:c r="X921" s="16"/>
      <x:c r="Y921" s="16"/>
      <x:c r="Z921" s="16"/>
      <x:c r="AA921" s="16"/>
      <x:c r="AB921" s="16"/>
      <x:c r="AC921" s="16"/>
      <x:c r="AD921" s="16"/>
    </x:row>
    <x:row r="922">
      <x:c r="A922" s="24"/>
      <x:c r="B922" s="24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16"/>
      <x:c r="V922" s="16"/>
      <x:c r="W922" s="16"/>
      <x:c r="X922" s="16"/>
      <x:c r="Y922" s="16"/>
      <x:c r="Z922" s="16"/>
      <x:c r="AA922" s="16"/>
      <x:c r="AB922" s="16"/>
      <x:c r="AC922" s="16"/>
      <x:c r="AD922" s="16"/>
    </x:row>
    <x:row r="923">
      <x:c r="A923" s="24"/>
      <x:c r="B923" s="24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16"/>
      <x:c r="V923" s="16"/>
      <x:c r="W923" s="16"/>
      <x:c r="X923" s="16"/>
      <x:c r="Y923" s="16"/>
      <x:c r="Z923" s="16"/>
      <x:c r="AA923" s="16"/>
      <x:c r="AB923" s="16"/>
      <x:c r="AC923" s="16"/>
      <x:c r="AD923" s="16"/>
    </x:row>
    <x:row r="924">
      <x:c r="A924" s="24"/>
      <x:c r="B924" s="24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16"/>
      <x:c r="V924" s="16"/>
      <x:c r="W924" s="16"/>
      <x:c r="X924" s="16"/>
      <x:c r="Y924" s="16"/>
      <x:c r="Z924" s="16"/>
      <x:c r="AA924" s="16"/>
      <x:c r="AB924" s="16"/>
      <x:c r="AC924" s="16"/>
      <x:c r="AD924" s="16"/>
    </x:row>
    <x:row r="925">
      <x:c r="A925" s="24"/>
      <x:c r="B925" s="24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16"/>
      <x:c r="V925" s="16"/>
      <x:c r="W925" s="16"/>
      <x:c r="X925" s="16"/>
      <x:c r="Y925" s="16"/>
      <x:c r="Z925" s="16"/>
      <x:c r="AA925" s="16"/>
      <x:c r="AB925" s="16"/>
      <x:c r="AC925" s="16"/>
      <x:c r="AD925" s="16"/>
    </x:row>
    <x:row r="926">
      <x:c r="A926" s="24"/>
      <x:c r="B926" s="24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16"/>
      <x:c r="V926" s="16"/>
      <x:c r="W926" s="16"/>
      <x:c r="X926" s="16"/>
      <x:c r="Y926" s="16"/>
      <x:c r="Z926" s="16"/>
      <x:c r="AA926" s="16"/>
      <x:c r="AB926" s="16"/>
      <x:c r="AC926" s="16"/>
      <x:c r="AD926" s="16"/>
    </x:row>
    <x:row r="927">
      <x:c r="A927" s="24"/>
      <x:c r="B927" s="24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16"/>
      <x:c r="V927" s="16"/>
      <x:c r="W927" s="16"/>
      <x:c r="X927" s="16"/>
      <x:c r="Y927" s="16"/>
      <x:c r="Z927" s="16"/>
      <x:c r="AA927" s="16"/>
      <x:c r="AB927" s="16"/>
      <x:c r="AC927" s="16"/>
      <x:c r="AD927" s="16"/>
    </x:row>
    <x:row r="928">
      <x:c r="A928" s="24"/>
      <x:c r="B928" s="24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16"/>
      <x:c r="V928" s="16"/>
      <x:c r="W928" s="16"/>
      <x:c r="X928" s="16"/>
      <x:c r="Y928" s="16"/>
      <x:c r="Z928" s="16"/>
      <x:c r="AA928" s="16"/>
      <x:c r="AB928" s="16"/>
      <x:c r="AC928" s="16"/>
      <x:c r="AD928" s="16"/>
    </x:row>
    <x:row r="929">
      <x:c r="A929" s="24"/>
      <x:c r="B929" s="24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16"/>
      <x:c r="V929" s="16"/>
      <x:c r="W929" s="16"/>
      <x:c r="X929" s="16"/>
      <x:c r="Y929" s="16"/>
      <x:c r="Z929" s="16"/>
      <x:c r="AA929" s="16"/>
      <x:c r="AB929" s="16"/>
      <x:c r="AC929" s="16"/>
      <x:c r="AD929" s="16"/>
    </x:row>
    <x:row r="930">
      <x:c r="A930" s="24"/>
      <x:c r="B930" s="24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16"/>
      <x:c r="V930" s="16"/>
      <x:c r="W930" s="16"/>
      <x:c r="X930" s="16"/>
      <x:c r="Y930" s="16"/>
      <x:c r="Z930" s="16"/>
      <x:c r="AA930" s="16"/>
      <x:c r="AB930" s="16"/>
      <x:c r="AC930" s="16"/>
      <x:c r="AD930" s="16"/>
    </x:row>
    <x:row r="931">
      <x:c r="A931" s="24"/>
      <x:c r="B931" s="24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16"/>
      <x:c r="V931" s="16"/>
      <x:c r="W931" s="16"/>
      <x:c r="X931" s="16"/>
      <x:c r="Y931" s="16"/>
      <x:c r="Z931" s="16"/>
      <x:c r="AA931" s="16"/>
      <x:c r="AB931" s="16"/>
      <x:c r="AC931" s="16"/>
      <x:c r="AD931" s="16"/>
    </x:row>
    <x:row r="932">
      <x:c r="A932" s="24"/>
      <x:c r="B932" s="24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16"/>
      <x:c r="V932" s="16"/>
      <x:c r="W932" s="16"/>
      <x:c r="X932" s="16"/>
      <x:c r="Y932" s="16"/>
      <x:c r="Z932" s="16"/>
      <x:c r="AA932" s="16"/>
      <x:c r="AB932" s="16"/>
      <x:c r="AC932" s="16"/>
      <x:c r="AD932" s="16"/>
    </x:row>
    <x:row r="933">
      <x:c r="A933" s="24"/>
      <x:c r="B933" s="24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16"/>
      <x:c r="V933" s="16"/>
      <x:c r="W933" s="16"/>
      <x:c r="X933" s="16"/>
      <x:c r="Y933" s="16"/>
      <x:c r="Z933" s="16"/>
      <x:c r="AA933" s="16"/>
      <x:c r="AB933" s="16"/>
      <x:c r="AC933" s="16"/>
      <x:c r="AD933" s="16"/>
    </x:row>
    <x:row r="934">
      <x:c r="A934" s="24"/>
      <x:c r="B934" s="24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16"/>
      <x:c r="V934" s="16"/>
      <x:c r="W934" s="16"/>
      <x:c r="X934" s="16"/>
      <x:c r="Y934" s="16"/>
      <x:c r="Z934" s="16"/>
      <x:c r="AA934" s="16"/>
      <x:c r="AB934" s="16"/>
      <x:c r="AC934" s="16"/>
      <x:c r="AD934" s="16"/>
    </x:row>
    <x:row r="935">
      <x:c r="A935" s="24"/>
      <x:c r="B935" s="24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16"/>
      <x:c r="V935" s="16"/>
      <x:c r="W935" s="16"/>
      <x:c r="X935" s="16"/>
      <x:c r="Y935" s="16"/>
      <x:c r="Z935" s="16"/>
      <x:c r="AA935" s="16"/>
      <x:c r="AB935" s="16"/>
      <x:c r="AC935" s="16"/>
      <x:c r="AD935" s="16"/>
    </x:row>
    <x:row r="936">
      <x:c r="A936" s="24"/>
      <x:c r="B936" s="24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16"/>
      <x:c r="V936" s="16"/>
      <x:c r="W936" s="16"/>
      <x:c r="X936" s="16"/>
      <x:c r="Y936" s="16"/>
      <x:c r="Z936" s="16"/>
      <x:c r="AA936" s="16"/>
      <x:c r="AB936" s="16"/>
      <x:c r="AC936" s="16"/>
      <x:c r="AD936" s="16"/>
    </x:row>
    <x:row r="937">
      <x:c r="A937" s="24"/>
      <x:c r="B937" s="24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16"/>
      <x:c r="V937" s="16"/>
      <x:c r="W937" s="16"/>
      <x:c r="X937" s="16"/>
      <x:c r="Y937" s="16"/>
      <x:c r="Z937" s="16"/>
      <x:c r="AA937" s="16"/>
      <x:c r="AB937" s="16"/>
      <x:c r="AC937" s="16"/>
      <x:c r="AD937" s="16"/>
    </x:row>
    <x:row r="938">
      <x:c r="A938" s="24"/>
      <x:c r="B938" s="24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16"/>
      <x:c r="V938" s="16"/>
      <x:c r="W938" s="16"/>
      <x:c r="X938" s="16"/>
      <x:c r="Y938" s="16"/>
      <x:c r="Z938" s="16"/>
      <x:c r="AA938" s="16"/>
      <x:c r="AB938" s="16"/>
      <x:c r="AC938" s="16"/>
      <x:c r="AD938" s="16"/>
    </x:row>
    <x:row r="939">
      <x:c r="A939" s="24"/>
      <x:c r="B939" s="24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16"/>
      <x:c r="V939" s="16"/>
      <x:c r="W939" s="16"/>
      <x:c r="X939" s="16"/>
      <x:c r="Y939" s="16"/>
      <x:c r="Z939" s="16"/>
      <x:c r="AA939" s="16"/>
      <x:c r="AB939" s="16"/>
      <x:c r="AC939" s="16"/>
      <x:c r="AD939" s="16"/>
    </x:row>
    <x:row r="940">
      <x:c r="A940" s="24"/>
      <x:c r="B940" s="24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16"/>
      <x:c r="V940" s="16"/>
      <x:c r="W940" s="16"/>
      <x:c r="X940" s="16"/>
      <x:c r="Y940" s="16"/>
      <x:c r="Z940" s="16"/>
      <x:c r="AA940" s="16"/>
      <x:c r="AB940" s="16"/>
      <x:c r="AC940" s="16"/>
      <x:c r="AD940" s="16"/>
    </x:row>
    <x:row r="941">
      <x:c r="A941" s="24"/>
      <x:c r="B941" s="24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16"/>
      <x:c r="V941" s="16"/>
      <x:c r="W941" s="16"/>
      <x:c r="X941" s="16"/>
      <x:c r="Y941" s="16"/>
      <x:c r="Z941" s="16"/>
      <x:c r="AA941" s="16"/>
      <x:c r="AB941" s="16"/>
      <x:c r="AC941" s="16"/>
      <x:c r="AD941" s="16"/>
    </x:row>
    <x:row r="942">
      <x:c r="A942" s="24"/>
      <x:c r="B942" s="24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16"/>
      <x:c r="V942" s="16"/>
      <x:c r="W942" s="16"/>
      <x:c r="X942" s="16"/>
      <x:c r="Y942" s="16"/>
      <x:c r="Z942" s="16"/>
      <x:c r="AA942" s="16"/>
      <x:c r="AB942" s="16"/>
      <x:c r="AC942" s="16"/>
      <x:c r="AD942" s="16"/>
    </x:row>
    <x:row r="943">
      <x:c r="A943" s="24"/>
      <x:c r="B943" s="24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16"/>
      <x:c r="V943" s="16"/>
      <x:c r="W943" s="16"/>
      <x:c r="X943" s="16"/>
      <x:c r="Y943" s="16"/>
      <x:c r="Z943" s="16"/>
      <x:c r="AA943" s="16"/>
      <x:c r="AB943" s="16"/>
      <x:c r="AC943" s="16"/>
      <x:c r="AD943" s="16"/>
    </x:row>
    <x:row r="944">
      <x:c r="A944" s="24"/>
      <x:c r="B944" s="24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16"/>
      <x:c r="V944" s="16"/>
      <x:c r="W944" s="16"/>
      <x:c r="X944" s="16"/>
      <x:c r="Y944" s="16"/>
      <x:c r="Z944" s="16"/>
      <x:c r="AA944" s="16"/>
      <x:c r="AB944" s="16"/>
      <x:c r="AC944" s="16"/>
      <x:c r="AD944" s="16"/>
    </x:row>
    <x:row r="945">
      <x:c r="A945" s="24"/>
      <x:c r="B945" s="24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16"/>
      <x:c r="V945" s="16"/>
      <x:c r="W945" s="16"/>
      <x:c r="X945" s="16"/>
      <x:c r="Y945" s="16"/>
      <x:c r="Z945" s="16"/>
      <x:c r="AA945" s="16"/>
      <x:c r="AB945" s="16"/>
      <x:c r="AC945" s="16"/>
      <x:c r="AD945" s="16"/>
    </x:row>
    <x:row r="946">
      <x:c r="A946" s="24"/>
      <x:c r="B946" s="24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16"/>
      <x:c r="V946" s="16"/>
      <x:c r="W946" s="16"/>
      <x:c r="X946" s="16"/>
      <x:c r="Y946" s="16"/>
      <x:c r="Z946" s="16"/>
      <x:c r="AA946" s="16"/>
      <x:c r="AB946" s="16"/>
      <x:c r="AC946" s="16"/>
      <x:c r="AD946" s="16"/>
    </x:row>
    <x:row r="947">
      <x:c r="A947" s="24"/>
      <x:c r="B947" s="24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16"/>
      <x:c r="V947" s="16"/>
      <x:c r="W947" s="16"/>
      <x:c r="X947" s="16"/>
      <x:c r="Y947" s="16"/>
      <x:c r="Z947" s="16"/>
      <x:c r="AA947" s="16"/>
      <x:c r="AB947" s="16"/>
      <x:c r="AC947" s="16"/>
      <x:c r="AD947" s="16"/>
    </x:row>
    <x:row r="948">
      <x:c r="A948" s="24"/>
      <x:c r="B948" s="24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16"/>
      <x:c r="V948" s="16"/>
      <x:c r="W948" s="16"/>
      <x:c r="X948" s="16"/>
      <x:c r="Y948" s="16"/>
      <x:c r="Z948" s="16"/>
      <x:c r="AA948" s="16"/>
      <x:c r="AB948" s="16"/>
      <x:c r="AC948" s="16"/>
      <x:c r="AD948" s="16"/>
    </x:row>
    <x:row r="949">
      <x:c r="A949" s="24"/>
      <x:c r="B949" s="24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16"/>
      <x:c r="V949" s="16"/>
      <x:c r="W949" s="16"/>
      <x:c r="X949" s="16"/>
      <x:c r="Y949" s="16"/>
      <x:c r="Z949" s="16"/>
      <x:c r="AA949" s="16"/>
      <x:c r="AB949" s="16"/>
      <x:c r="AC949" s="16"/>
      <x:c r="AD949" s="16"/>
    </x:row>
    <x:row r="950">
      <x:c r="A950" s="24"/>
      <x:c r="B950" s="24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16"/>
      <x:c r="V950" s="16"/>
      <x:c r="W950" s="16"/>
      <x:c r="X950" s="16"/>
      <x:c r="Y950" s="16"/>
      <x:c r="Z950" s="16"/>
      <x:c r="AA950" s="16"/>
      <x:c r="AB950" s="16"/>
      <x:c r="AC950" s="16"/>
      <x:c r="AD950" s="16"/>
    </x:row>
    <x:row r="951">
      <x:c r="A951" s="24"/>
      <x:c r="B951" s="24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16"/>
      <x:c r="V951" s="16"/>
      <x:c r="W951" s="16"/>
      <x:c r="X951" s="16"/>
      <x:c r="Y951" s="16"/>
      <x:c r="Z951" s="16"/>
      <x:c r="AA951" s="16"/>
      <x:c r="AB951" s="16"/>
      <x:c r="AC951" s="16"/>
      <x:c r="AD951" s="16"/>
    </x:row>
    <x:row r="952">
      <x:c r="A952" s="24"/>
      <x:c r="B952" s="24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16"/>
      <x:c r="V952" s="16"/>
      <x:c r="W952" s="16"/>
      <x:c r="X952" s="16"/>
      <x:c r="Y952" s="16"/>
      <x:c r="Z952" s="16"/>
      <x:c r="AA952" s="16"/>
      <x:c r="AB952" s="16"/>
      <x:c r="AC952" s="16"/>
      <x:c r="AD952" s="16"/>
    </x:row>
    <x:row r="953">
      <x:c r="A953" s="24"/>
      <x:c r="B953" s="24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16"/>
      <x:c r="V953" s="16"/>
      <x:c r="W953" s="16"/>
      <x:c r="X953" s="16"/>
      <x:c r="Y953" s="16"/>
      <x:c r="Z953" s="16"/>
      <x:c r="AA953" s="16"/>
      <x:c r="AB953" s="16"/>
      <x:c r="AC953" s="16"/>
      <x:c r="AD953" s="16"/>
    </x:row>
    <x:row r="954">
      <x:c r="A954" s="24"/>
      <x:c r="B954" s="24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16"/>
      <x:c r="V954" s="16"/>
      <x:c r="W954" s="16"/>
      <x:c r="X954" s="16"/>
      <x:c r="Y954" s="16"/>
      <x:c r="Z954" s="16"/>
      <x:c r="AA954" s="16"/>
      <x:c r="AB954" s="16"/>
      <x:c r="AC954" s="16"/>
      <x:c r="AD954" s="16"/>
    </x:row>
    <x:row r="955">
      <x:c r="A955" s="24"/>
      <x:c r="B955" s="24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16"/>
      <x:c r="V955" s="16"/>
      <x:c r="W955" s="16"/>
      <x:c r="X955" s="16"/>
      <x:c r="Y955" s="16"/>
      <x:c r="Z955" s="16"/>
      <x:c r="AA955" s="16"/>
      <x:c r="AB955" s="16"/>
      <x:c r="AC955" s="16"/>
      <x:c r="AD955" s="16"/>
    </x:row>
    <x:row r="956">
      <x:c r="A956" s="24"/>
      <x:c r="B956" s="24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16"/>
      <x:c r="V956" s="16"/>
      <x:c r="W956" s="16"/>
      <x:c r="X956" s="16"/>
      <x:c r="Y956" s="16"/>
      <x:c r="Z956" s="16"/>
      <x:c r="AA956" s="16"/>
      <x:c r="AB956" s="16"/>
      <x:c r="AC956" s="16"/>
      <x:c r="AD956" s="16"/>
    </x:row>
    <x:row r="957">
      <x:c r="A957" s="24"/>
      <x:c r="B957" s="24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16"/>
      <x:c r="V957" s="16"/>
      <x:c r="W957" s="16"/>
      <x:c r="X957" s="16"/>
      <x:c r="Y957" s="16"/>
      <x:c r="Z957" s="16"/>
      <x:c r="AA957" s="16"/>
      <x:c r="AB957" s="16"/>
      <x:c r="AC957" s="16"/>
      <x:c r="AD957" s="16"/>
    </x:row>
    <x:row r="958">
      <x:c r="A958" s="24"/>
      <x:c r="B958" s="24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16"/>
      <x:c r="V958" s="16"/>
      <x:c r="W958" s="16"/>
      <x:c r="X958" s="16"/>
      <x:c r="Y958" s="16"/>
      <x:c r="Z958" s="16"/>
      <x:c r="AA958" s="16"/>
      <x:c r="AB958" s="16"/>
      <x:c r="AC958" s="16"/>
      <x:c r="AD958" s="16"/>
    </x:row>
    <x:row r="959">
      <x:c r="A959" s="24"/>
      <x:c r="B959" s="24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16"/>
      <x:c r="V959" s="16"/>
      <x:c r="W959" s="16"/>
      <x:c r="X959" s="16"/>
      <x:c r="Y959" s="16"/>
      <x:c r="Z959" s="16"/>
      <x:c r="AA959" s="16"/>
      <x:c r="AB959" s="16"/>
      <x:c r="AC959" s="16"/>
      <x:c r="AD959" s="16"/>
    </x:row>
    <x:row r="960">
      <x:c r="A960" s="24"/>
      <x:c r="B960" s="24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16"/>
      <x:c r="V960" s="16"/>
      <x:c r="W960" s="16"/>
      <x:c r="X960" s="16"/>
      <x:c r="Y960" s="16"/>
      <x:c r="Z960" s="16"/>
      <x:c r="AA960" s="16"/>
      <x:c r="AB960" s="16"/>
      <x:c r="AC960" s="16"/>
      <x:c r="AD960" s="16"/>
    </x:row>
    <x:row r="961">
      <x:c r="A961" s="24"/>
      <x:c r="B961" s="24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16"/>
      <x:c r="V961" s="16"/>
      <x:c r="W961" s="16"/>
      <x:c r="X961" s="16"/>
      <x:c r="Y961" s="16"/>
      <x:c r="Z961" s="16"/>
      <x:c r="AA961" s="16"/>
      <x:c r="AB961" s="16"/>
      <x:c r="AC961" s="16"/>
      <x:c r="AD961" s="16"/>
    </x:row>
    <x:row r="962">
      <x:c r="A962" s="24"/>
      <x:c r="B962" s="24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16"/>
      <x:c r="V962" s="16"/>
      <x:c r="W962" s="16"/>
      <x:c r="X962" s="16"/>
      <x:c r="Y962" s="16"/>
      <x:c r="Z962" s="16"/>
      <x:c r="AA962" s="16"/>
      <x:c r="AB962" s="16"/>
      <x:c r="AC962" s="16"/>
      <x:c r="AD962" s="16"/>
    </x:row>
    <x:row r="963">
      <x:c r="A963" s="24"/>
      <x:c r="B963" s="24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16"/>
      <x:c r="V963" s="16"/>
      <x:c r="W963" s="16"/>
      <x:c r="X963" s="16"/>
      <x:c r="Y963" s="16"/>
      <x:c r="Z963" s="16"/>
      <x:c r="AA963" s="16"/>
      <x:c r="AB963" s="16"/>
      <x:c r="AC963" s="16"/>
      <x:c r="AD963" s="16"/>
    </x:row>
    <x:row r="964">
      <x:c r="A964" s="24"/>
      <x:c r="B964" s="24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16"/>
      <x:c r="V964" s="16"/>
      <x:c r="W964" s="16"/>
      <x:c r="X964" s="16"/>
      <x:c r="Y964" s="16"/>
      <x:c r="Z964" s="16"/>
      <x:c r="AA964" s="16"/>
      <x:c r="AB964" s="16"/>
      <x:c r="AC964" s="16"/>
      <x:c r="AD964" s="16"/>
    </x:row>
    <x:row r="965">
      <x:c r="A965" s="24"/>
      <x:c r="B965" s="24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16"/>
      <x:c r="V965" s="16"/>
      <x:c r="W965" s="16"/>
      <x:c r="X965" s="16"/>
      <x:c r="Y965" s="16"/>
      <x:c r="Z965" s="16"/>
      <x:c r="AA965" s="16"/>
      <x:c r="AB965" s="16"/>
      <x:c r="AC965" s="16"/>
      <x:c r="AD965" s="16"/>
    </x:row>
    <x:row r="966">
      <x:c r="A966" s="24"/>
      <x:c r="B966" s="24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16"/>
      <x:c r="V966" s="16"/>
      <x:c r="W966" s="16"/>
      <x:c r="X966" s="16"/>
      <x:c r="Y966" s="16"/>
      <x:c r="Z966" s="16"/>
      <x:c r="AA966" s="16"/>
      <x:c r="AB966" s="16"/>
      <x:c r="AC966" s="16"/>
      <x:c r="AD966" s="16"/>
    </x:row>
    <x:row r="967">
      <x:c r="A967" s="24"/>
      <x:c r="B967" s="24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16"/>
      <x:c r="V967" s="16"/>
      <x:c r="W967" s="16"/>
      <x:c r="X967" s="16"/>
      <x:c r="Y967" s="16"/>
      <x:c r="Z967" s="16"/>
      <x:c r="AA967" s="16"/>
      <x:c r="AB967" s="16"/>
      <x:c r="AC967" s="16"/>
      <x:c r="AD967" s="16"/>
    </x:row>
    <x:row r="968">
      <x:c r="A968" s="24"/>
      <x:c r="B968" s="24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16"/>
      <x:c r="V968" s="16"/>
      <x:c r="W968" s="16"/>
      <x:c r="X968" s="16"/>
      <x:c r="Y968" s="16"/>
      <x:c r="Z968" s="16"/>
      <x:c r="AA968" s="16"/>
      <x:c r="AB968" s="16"/>
      <x:c r="AC968" s="16"/>
      <x:c r="AD968" s="16"/>
    </x:row>
    <x:row r="969">
      <x:c r="A969" s="24"/>
      <x:c r="B969" s="24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16"/>
      <x:c r="V969" s="16"/>
      <x:c r="W969" s="16"/>
      <x:c r="X969" s="16"/>
      <x:c r="Y969" s="16"/>
      <x:c r="Z969" s="16"/>
      <x:c r="AA969" s="16"/>
      <x:c r="AB969" s="16"/>
      <x:c r="AC969" s="16"/>
      <x:c r="AD969" s="16"/>
    </x:row>
    <x:row r="970">
      <x:c r="A970" s="24"/>
      <x:c r="B970" s="24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16"/>
      <x:c r="V970" s="16"/>
      <x:c r="W970" s="16"/>
      <x:c r="X970" s="16"/>
      <x:c r="Y970" s="16"/>
      <x:c r="Z970" s="16"/>
      <x:c r="AA970" s="16"/>
      <x:c r="AB970" s="16"/>
      <x:c r="AC970" s="16"/>
      <x:c r="AD970" s="16"/>
    </x:row>
    <x:row r="971">
      <x:c r="A971" s="24"/>
      <x:c r="B971" s="24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16"/>
      <x:c r="V971" s="16"/>
      <x:c r="W971" s="16"/>
      <x:c r="X971" s="16"/>
      <x:c r="Y971" s="16"/>
      <x:c r="Z971" s="16"/>
      <x:c r="AA971" s="16"/>
      <x:c r="AB971" s="16"/>
      <x:c r="AC971" s="16"/>
      <x:c r="AD971" s="16"/>
    </x:row>
    <x:row r="972">
      <x:c r="A972" s="24"/>
      <x:c r="B972" s="24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16"/>
      <x:c r="V972" s="16"/>
      <x:c r="W972" s="16"/>
      <x:c r="X972" s="16"/>
      <x:c r="Y972" s="16"/>
      <x:c r="Z972" s="16"/>
      <x:c r="AA972" s="16"/>
      <x:c r="AB972" s="16"/>
      <x:c r="AC972" s="16"/>
      <x:c r="AD972" s="16"/>
    </x:row>
    <x:row r="973">
      <x:c r="A973" s="24"/>
      <x:c r="B973" s="24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16"/>
      <x:c r="V973" s="16"/>
      <x:c r="W973" s="16"/>
      <x:c r="X973" s="16"/>
      <x:c r="Y973" s="16"/>
      <x:c r="Z973" s="16"/>
      <x:c r="AA973" s="16"/>
      <x:c r="AB973" s="16"/>
      <x:c r="AC973" s="16"/>
      <x:c r="AD973" s="16"/>
    </x:row>
    <x:row r="974">
      <x:c r="A974" s="24"/>
      <x:c r="B974" s="24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16"/>
      <x:c r="V974" s="16"/>
      <x:c r="W974" s="16"/>
      <x:c r="X974" s="16"/>
      <x:c r="Y974" s="16"/>
      <x:c r="Z974" s="16"/>
      <x:c r="AA974" s="16"/>
      <x:c r="AB974" s="16"/>
      <x:c r="AC974" s="16"/>
      <x:c r="AD974" s="16"/>
    </x:row>
    <x:row r="975">
      <x:c r="A975" s="24"/>
      <x:c r="B975" s="24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16"/>
      <x:c r="V975" s="16"/>
      <x:c r="W975" s="16"/>
      <x:c r="X975" s="16"/>
      <x:c r="Y975" s="16"/>
      <x:c r="Z975" s="16"/>
      <x:c r="AA975" s="16"/>
      <x:c r="AB975" s="16"/>
      <x:c r="AC975" s="16"/>
      <x:c r="AD975" s="16"/>
    </x:row>
    <x:row r="976">
      <x:c r="A976" s="24"/>
      <x:c r="B976" s="24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16"/>
      <x:c r="V976" s="16"/>
      <x:c r="W976" s="16"/>
      <x:c r="X976" s="16"/>
      <x:c r="Y976" s="16"/>
      <x:c r="Z976" s="16"/>
      <x:c r="AA976" s="16"/>
      <x:c r="AB976" s="16"/>
      <x:c r="AC976" s="16"/>
      <x:c r="AD976" s="16"/>
    </x:row>
    <x:row r="977">
      <x:c r="A977" s="24"/>
      <x:c r="B977" s="24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16"/>
      <x:c r="V977" s="16"/>
      <x:c r="W977" s="16"/>
      <x:c r="X977" s="16"/>
      <x:c r="Y977" s="16"/>
      <x:c r="Z977" s="16"/>
      <x:c r="AA977" s="16"/>
      <x:c r="AB977" s="16"/>
      <x:c r="AC977" s="16"/>
      <x:c r="AD977" s="16"/>
    </x:row>
    <x:row r="978">
      <x:c r="A978" s="24"/>
      <x:c r="B978" s="24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16"/>
      <x:c r="V978" s="16"/>
      <x:c r="W978" s="16"/>
      <x:c r="X978" s="16"/>
      <x:c r="Y978" s="16"/>
      <x:c r="Z978" s="16"/>
      <x:c r="AA978" s="16"/>
      <x:c r="AB978" s="16"/>
      <x:c r="AC978" s="16"/>
      <x:c r="AD978" s="16"/>
    </x:row>
    <x:row r="979">
      <x:c r="A979" s="24"/>
      <x:c r="B979" s="24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16"/>
      <x:c r="V979" s="16"/>
      <x:c r="W979" s="16"/>
      <x:c r="X979" s="16"/>
      <x:c r="Y979" s="16"/>
      <x:c r="Z979" s="16"/>
      <x:c r="AA979" s="16"/>
      <x:c r="AB979" s="16"/>
      <x:c r="AC979" s="16"/>
      <x:c r="AD979" s="16"/>
    </x:row>
    <x:row r="980">
      <x:c r="A980" s="24"/>
      <x:c r="B980" s="24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16"/>
      <x:c r="V980" s="16"/>
      <x:c r="W980" s="16"/>
      <x:c r="X980" s="16"/>
      <x:c r="Y980" s="16"/>
      <x:c r="Z980" s="16"/>
      <x:c r="AA980" s="16"/>
      <x:c r="AB980" s="16"/>
      <x:c r="AC980" s="16"/>
      <x:c r="AD980" s="16"/>
    </x:row>
    <x:row r="981">
      <x:c r="A981" s="24"/>
      <x:c r="B981" s="24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16"/>
      <x:c r="V981" s="16"/>
      <x:c r="W981" s="16"/>
      <x:c r="X981" s="16"/>
      <x:c r="Y981" s="16"/>
      <x:c r="Z981" s="16"/>
      <x:c r="AA981" s="16"/>
      <x:c r="AB981" s="16"/>
      <x:c r="AC981" s="16"/>
      <x:c r="AD981" s="16"/>
    </x:row>
    <x:row r="982">
      <x:c r="A982" s="24"/>
      <x:c r="B982" s="24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16"/>
      <x:c r="V982" s="16"/>
      <x:c r="W982" s="16"/>
      <x:c r="X982" s="16"/>
      <x:c r="Y982" s="16"/>
      <x:c r="Z982" s="16"/>
      <x:c r="AA982" s="16"/>
      <x:c r="AB982" s="16"/>
      <x:c r="AC982" s="16"/>
      <x:c r="AD982" s="16"/>
    </x:row>
    <x:row r="983">
      <x:c r="A983" s="24"/>
      <x:c r="B983" s="24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16"/>
      <x:c r="V983" s="16"/>
      <x:c r="W983" s="16"/>
      <x:c r="X983" s="16"/>
      <x:c r="Y983" s="16"/>
      <x:c r="Z983" s="16"/>
      <x:c r="AA983" s="16"/>
      <x:c r="AB983" s="16"/>
      <x:c r="AC983" s="16"/>
      <x:c r="AD983" s="16"/>
    </x:row>
    <x:row r="984">
      <x:c r="A984" s="24"/>
      <x:c r="B984" s="24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16"/>
      <x:c r="V984" s="16"/>
      <x:c r="W984" s="16"/>
      <x:c r="X984" s="16"/>
      <x:c r="Y984" s="16"/>
      <x:c r="Z984" s="16"/>
      <x:c r="AA984" s="16"/>
      <x:c r="AB984" s="16"/>
      <x:c r="AC984" s="16"/>
      <x:c r="AD984" s="16"/>
    </x:row>
    <x:row r="985">
      <x:c r="A985" s="24"/>
      <x:c r="B985" s="24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16"/>
      <x:c r="V985" s="16"/>
      <x:c r="W985" s="16"/>
      <x:c r="X985" s="16"/>
      <x:c r="Y985" s="16"/>
      <x:c r="Z985" s="16"/>
      <x:c r="AA985" s="16"/>
      <x:c r="AB985" s="16"/>
      <x:c r="AC985" s="16"/>
      <x:c r="AD985" s="16"/>
    </x:row>
    <x:row r="986">
      <x:c r="A986" s="24"/>
      <x:c r="B986" s="24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16"/>
      <x:c r="V986" s="16"/>
      <x:c r="W986" s="16"/>
      <x:c r="X986" s="16"/>
      <x:c r="Y986" s="16"/>
      <x:c r="Z986" s="16"/>
      <x:c r="AA986" s="16"/>
      <x:c r="AB986" s="16"/>
      <x:c r="AC986" s="16"/>
      <x:c r="AD986" s="16"/>
    </x:row>
    <x:row r="987">
      <x:c r="A987" s="24"/>
      <x:c r="B987" s="24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16"/>
      <x:c r="V987" s="16"/>
      <x:c r="W987" s="16"/>
      <x:c r="X987" s="16"/>
      <x:c r="Y987" s="16"/>
      <x:c r="Z987" s="16"/>
      <x:c r="AA987" s="16"/>
      <x:c r="AB987" s="16"/>
      <x:c r="AC987" s="16"/>
      <x:c r="AD987" s="16"/>
    </x:row>
    <x:row r="988">
      <x:c r="A988" s="24"/>
      <x:c r="B988" s="24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16"/>
      <x:c r="V988" s="16"/>
      <x:c r="W988" s="16"/>
      <x:c r="X988" s="16"/>
      <x:c r="Y988" s="16"/>
      <x:c r="Z988" s="16"/>
      <x:c r="AA988" s="16"/>
      <x:c r="AB988" s="16"/>
      <x:c r="AC988" s="16"/>
      <x:c r="AD988" s="16"/>
    </x:row>
    <x:row r="989">
      <x:c r="A989" s="24"/>
      <x:c r="B989" s="24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16"/>
      <x:c r="V989" s="16"/>
      <x:c r="W989" s="16"/>
      <x:c r="X989" s="16"/>
      <x:c r="Y989" s="16"/>
      <x:c r="Z989" s="16"/>
      <x:c r="AA989" s="16"/>
      <x:c r="AB989" s="16"/>
      <x:c r="AC989" s="16"/>
      <x:c r="AD989" s="16"/>
    </x:row>
    <x:row r="990">
      <x:c r="A990" s="24"/>
      <x:c r="B990" s="24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16"/>
      <x:c r="V990" s="16"/>
      <x:c r="W990" s="16"/>
      <x:c r="X990" s="16"/>
      <x:c r="Y990" s="16"/>
      <x:c r="Z990" s="16"/>
      <x:c r="AA990" s="16"/>
      <x:c r="AB990" s="16"/>
      <x:c r="AC990" s="16"/>
      <x:c r="AD990" s="16"/>
    </x:row>
    <x:row r="991">
      <x:c r="A991" s="24"/>
      <x:c r="B991" s="24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16"/>
      <x:c r="V991" s="16"/>
      <x:c r="W991" s="16"/>
      <x:c r="X991" s="16"/>
      <x:c r="Y991" s="16"/>
      <x:c r="Z991" s="16"/>
      <x:c r="AA991" s="16"/>
      <x:c r="AB991" s="16"/>
      <x:c r="AC991" s="16"/>
      <x:c r="AD991" s="16"/>
    </x:row>
    <x:row r="992">
      <x:c r="A992" s="24"/>
      <x:c r="B992" s="24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16"/>
      <x:c r="V992" s="16"/>
      <x:c r="W992" s="16"/>
      <x:c r="X992" s="16"/>
      <x:c r="Y992" s="16"/>
      <x:c r="Z992" s="16"/>
      <x:c r="AA992" s="16"/>
      <x:c r="AB992" s="16"/>
      <x:c r="AC992" s="16"/>
      <x:c r="AD992" s="16"/>
    </x:row>
    <x:row r="993">
      <x:c r="A993" s="24"/>
      <x:c r="B993" s="24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16"/>
      <x:c r="V993" s="16"/>
      <x:c r="W993" s="16"/>
      <x:c r="X993" s="16"/>
      <x:c r="Y993" s="16"/>
      <x:c r="Z993" s="16"/>
      <x:c r="AA993" s="16"/>
      <x:c r="AB993" s="16"/>
      <x:c r="AC993" s="16"/>
      <x:c r="AD993" s="16"/>
    </x:row>
    <x:row r="994">
      <x:c r="A994" s="24"/>
      <x:c r="B994" s="24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16"/>
      <x:c r="V994" s="16"/>
      <x:c r="W994" s="16"/>
      <x:c r="X994" s="16"/>
      <x:c r="Y994" s="16"/>
      <x:c r="Z994" s="16"/>
      <x:c r="AA994" s="16"/>
      <x:c r="AB994" s="16"/>
      <x:c r="AC994" s="16"/>
      <x:c r="AD994" s="16"/>
    </x:row>
    <x:row r="995">
      <x:c r="A995" s="24"/>
      <x:c r="B995" s="24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16"/>
      <x:c r="V995" s="16"/>
      <x:c r="W995" s="16"/>
      <x:c r="X995" s="16"/>
      <x:c r="Y995" s="16"/>
      <x:c r="Z995" s="16"/>
      <x:c r="AA995" s="16"/>
      <x:c r="AB995" s="16"/>
      <x:c r="AC995" s="16"/>
      <x:c r="AD995" s="16"/>
    </x:row>
    <x:row r="996">
      <x:c r="A996" s="24"/>
      <x:c r="B996" s="24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16"/>
      <x:c r="V996" s="16"/>
      <x:c r="W996" s="16"/>
      <x:c r="X996" s="16"/>
      <x:c r="Y996" s="16"/>
      <x:c r="Z996" s="16"/>
      <x:c r="AA996" s="16"/>
      <x:c r="AB996" s="16"/>
      <x:c r="AC996" s="16"/>
      <x:c r="AD996" s="16"/>
    </x:row>
    <x:row r="997">
      <x:c r="A997" s="24"/>
      <x:c r="B997" s="24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16"/>
      <x:c r="V997" s="16"/>
      <x:c r="W997" s="16"/>
      <x:c r="X997" s="16"/>
      <x:c r="Y997" s="16"/>
      <x:c r="Z997" s="16"/>
      <x:c r="AA997" s="16"/>
      <x:c r="AB997" s="16"/>
      <x:c r="AC997" s="16"/>
      <x:c r="AD997" s="16"/>
    </x:row>
    <x:row r="998">
      <x:c r="A998" s="24"/>
      <x:c r="B998" s="24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16"/>
      <x:c r="V998" s="16"/>
      <x:c r="W998" s="16"/>
      <x:c r="X998" s="16"/>
      <x:c r="Y998" s="16"/>
      <x:c r="Z998" s="16"/>
      <x:c r="AA998" s="16"/>
      <x:c r="AB998" s="16"/>
      <x:c r="AC998" s="16"/>
      <x:c r="AD998" s="16"/>
    </x:row>
    <x:row r="999">
      <x:c r="A999" s="24"/>
      <x:c r="B999" s="24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16"/>
      <x:c r="V999" s="16"/>
      <x:c r="W999" s="16"/>
      <x:c r="X999" s="16"/>
      <x:c r="Y999" s="16"/>
      <x:c r="Z999" s="16"/>
      <x:c r="AA999" s="16"/>
      <x:c r="AB999" s="16"/>
      <x:c r="AC999" s="16"/>
      <x:c r="AD999" s="16"/>
    </x:row>
    <x:row r="1000">
      <x:c r="A1000" s="24"/>
      <x:c r="B1000" s="24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16"/>
      <x:c r="V1000" s="16"/>
      <x:c r="W1000" s="16"/>
      <x:c r="X1000" s="16"/>
      <x:c r="Y1000" s="16"/>
      <x:c r="Z1000" s="16"/>
      <x:c r="AA1000" s="16"/>
      <x:c r="AB1000" s="16"/>
      <x:c r="AC1000" s="16"/>
      <x:c r="AD1000" s="16"/>
    </x:row>
    <x:row r="1001">
      <x:c r="A1001" s="24"/>
      <x:c r="B1001" s="24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16"/>
      <x:c r="V1001" s="16"/>
      <x:c r="W1001" s="16"/>
      <x:c r="X1001" s="16"/>
      <x:c r="Y1001" s="16"/>
      <x:c r="Z1001" s="16"/>
      <x:c r="AA1001" s="16"/>
      <x:c r="AB1001" s="16"/>
      <x:c r="AC1001" s="16"/>
      <x:c r="AD1001" s="16"/>
    </x:row>
    <x:row r="1002">
      <x:c r="A1002" s="24"/>
      <x:c r="B1002" s="24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16"/>
      <x:c r="V1002" s="16"/>
      <x:c r="W1002" s="16"/>
      <x:c r="X1002" s="16"/>
      <x:c r="Y1002" s="16"/>
      <x:c r="Z1002" s="16"/>
      <x:c r="AA1002" s="16"/>
      <x:c r="AB1002" s="16"/>
      <x:c r="AC1002" s="16"/>
      <x:c r="AD1002" s="16"/>
    </x:row>
    <x:row r="1003">
      <x:c r="A1003" s="24"/>
      <x:c r="B1003" s="24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16"/>
      <x:c r="V1003" s="16"/>
      <x:c r="W1003" s="16"/>
      <x:c r="X1003" s="16"/>
      <x:c r="Y1003" s="16"/>
      <x:c r="Z1003" s="16"/>
      <x:c r="AA1003" s="16"/>
      <x:c r="AB1003" s="16"/>
      <x:c r="AC1003" s="16"/>
      <x:c r="AD1003" s="16"/>
    </x:row>
    <x:row r="1004">
      <x:c r="A1004" s="24"/>
      <x:c r="B1004" s="24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16"/>
      <x:c r="V1004" s="16"/>
      <x:c r="W1004" s="16"/>
      <x:c r="X1004" s="16"/>
      <x:c r="Y1004" s="16"/>
      <x:c r="Z1004" s="16"/>
      <x:c r="AA1004" s="16"/>
      <x:c r="AB1004" s="16"/>
      <x:c r="AC1004" s="16"/>
      <x:c r="AD1004" s="16"/>
    </x:row>
    <x:row r="1005">
      <x:c r="A1005" s="24"/>
      <x:c r="B1005" s="24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16"/>
      <x:c r="V1005" s="16"/>
      <x:c r="W1005" s="16"/>
      <x:c r="X1005" s="16"/>
      <x:c r="Y1005" s="16"/>
      <x:c r="Z1005" s="16"/>
      <x:c r="AA1005" s="16"/>
      <x:c r="AB1005" s="16"/>
      <x:c r="AC1005" s="16"/>
      <x:c r="AD1005" s="16"/>
    </x:row>
    <x:row r="1006">
      <x:c r="A1006" s="24"/>
      <x:c r="B1006" s="24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16"/>
      <x:c r="V1006" s="16"/>
      <x:c r="W1006" s="16"/>
      <x:c r="X1006" s="16"/>
      <x:c r="Y1006" s="16"/>
      <x:c r="Z1006" s="16"/>
      <x:c r="AA1006" s="16"/>
      <x:c r="AB1006" s="16"/>
      <x:c r="AC1006" s="16"/>
      <x:c r="AD1006" s="16"/>
    </x:row>
    <x:row r="1007">
      <x:c r="A1007" s="24"/>
      <x:c r="B1007" s="24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16"/>
      <x:c r="V1007" s="16"/>
      <x:c r="W1007" s="16"/>
      <x:c r="X1007" s="16"/>
      <x:c r="Y1007" s="16"/>
      <x:c r="Z1007" s="16"/>
      <x:c r="AA1007" s="16"/>
      <x:c r="AB1007" s="16"/>
      <x:c r="AC1007" s="16"/>
      <x:c r="AD1007" s="16"/>
    </x:row>
    <x:row r="1008">
      <x:c r="A1008" s="24"/>
      <x:c r="B1008" s="24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16"/>
      <x:c r="V1008" s="16"/>
      <x:c r="W1008" s="16"/>
      <x:c r="X1008" s="16"/>
      <x:c r="Y1008" s="16"/>
      <x:c r="Z1008" s="16"/>
      <x:c r="AA1008" s="16"/>
      <x:c r="AB1008" s="16"/>
      <x:c r="AC1008" s="16"/>
      <x:c r="AD1008" s="16"/>
    </x:row>
    <x:row r="1009">
      <x:c r="A1009" s="24"/>
      <x:c r="B1009" s="24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16"/>
      <x:c r="V1009" s="16"/>
      <x:c r="W1009" s="16"/>
      <x:c r="X1009" s="16"/>
      <x:c r="Y1009" s="16"/>
      <x:c r="Z1009" s="16"/>
      <x:c r="AA1009" s="16"/>
      <x:c r="AB1009" s="16"/>
      <x:c r="AC1009" s="16"/>
      <x:c r="AD1009" s="16"/>
    </x:row>
    <x:row r="1010">
      <x:c r="M1010" s="16"/>
      <x:c r="N1010" s="16"/>
      <x:c r="O1010" s="16"/>
      <x:c r="P1010" s="16"/>
      <x:c r="Q1010" s="16"/>
      <x:c r="R1010" s="16"/>
      <x:c r="S1010" s="16"/>
      <x:c r="T1010" s="16"/>
      <x:c r="U1010" s="16"/>
      <x:c r="V1010" s="16"/>
      <x:c r="W1010" s="16"/>
      <x:c r="X1010" s="16"/>
      <x:c r="Y1010" s="16"/>
      <x:c r="Z1010" s="16"/>
      <x:c r="AA1010" s="16"/>
      <x:c r="AB1010" s="16"/>
      <x:c r="AC1010" s="16"/>
      <x:c r="AD1010" s="16"/>
    </x:row>
    <x:row r="1011">
      <x:c r="M1011" s="16"/>
      <x:c r="N1011" s="16"/>
      <x:c r="O1011" s="16"/>
      <x:c r="P1011" s="16"/>
      <x:c r="Q1011" s="16"/>
      <x:c r="R1011" s="16"/>
      <x:c r="S1011" s="16"/>
      <x:c r="T1011" s="16"/>
      <x:c r="U1011" s="16"/>
      <x:c r="V1011" s="16"/>
      <x:c r="W1011" s="16"/>
      <x:c r="X1011" s="16"/>
      <x:c r="Y1011" s="16"/>
      <x:c r="Z1011" s="16"/>
      <x:c r="AA1011" s="16"/>
      <x:c r="AB1011" s="16"/>
      <x:c r="AC1011" s="16"/>
      <x:c r="AD1011" s="16"/>
    </x:row>
    <x:row r="1012">
      <x:c r="M1012" s="16"/>
      <x:c r="N1012" s="16"/>
      <x:c r="O1012" s="16"/>
      <x:c r="P1012" s="16"/>
      <x:c r="Q1012" s="16"/>
      <x:c r="R1012" s="16"/>
      <x:c r="S1012" s="16"/>
      <x:c r="T1012" s="16"/>
      <x:c r="U1012" s="16"/>
      <x:c r="V1012" s="16"/>
      <x:c r="W1012" s="16"/>
      <x:c r="X1012" s="16"/>
      <x:c r="Y1012" s="16"/>
      <x:c r="Z1012" s="16"/>
      <x:c r="AA1012" s="16"/>
      <x:c r="AB1012" s="16"/>
      <x:c r="AC1012" s="16"/>
      <x:c r="AD1012" s="16"/>
    </x:row>
    <x:row r="1013">
      <x:c r="M1013" s="16"/>
      <x:c r="N1013" s="16"/>
      <x:c r="O1013" s="16"/>
      <x:c r="P1013" s="16"/>
      <x:c r="Q1013" s="16"/>
      <x:c r="R1013" s="16"/>
      <x:c r="S1013" s="16"/>
      <x:c r="T1013" s="16"/>
      <x:c r="U1013" s="16"/>
      <x:c r="V1013" s="16"/>
      <x:c r="W1013" s="16"/>
      <x:c r="X1013" s="16"/>
      <x:c r="Y1013" s="16"/>
      <x:c r="Z1013" s="16"/>
      <x:c r="AA1013" s="16"/>
      <x:c r="AB1013" s="16"/>
      <x:c r="AC1013" s="16"/>
      <x:c r="AD1013" s="16"/>
    </x:row>
    <x:row r="1014">
      <x:c r="M1014" s="16"/>
      <x:c r="N1014" s="16"/>
      <x:c r="O1014" s="16"/>
      <x:c r="P1014" s="16"/>
      <x:c r="Q1014" s="16"/>
      <x:c r="R1014" s="16"/>
      <x:c r="S1014" s="16"/>
      <x:c r="T1014" s="16"/>
      <x:c r="U1014" s="16"/>
      <x:c r="V1014" s="16"/>
      <x:c r="W1014" s="16"/>
      <x:c r="X1014" s="16"/>
      <x:c r="Y1014" s="16"/>
      <x:c r="Z1014" s="16"/>
      <x:c r="AA1014" s="16"/>
      <x:c r="AB1014" s="16"/>
      <x:c r="AC1014" s="16"/>
      <x:c r="AD1014" s="16"/>
    </x:row>
    <x:row r="1015">
      <x:c r="M1015" s="16"/>
      <x:c r="N1015" s="16"/>
      <x:c r="O1015" s="16"/>
      <x:c r="P1015" s="16"/>
      <x:c r="Q1015" s="16"/>
      <x:c r="R1015" s="16"/>
      <x:c r="S1015" s="16"/>
      <x:c r="T1015" s="16"/>
      <x:c r="U1015" s="16"/>
      <x:c r="V1015" s="16"/>
      <x:c r="W1015" s="16"/>
      <x:c r="X1015" s="16"/>
      <x:c r="Y1015" s="16"/>
      <x:c r="Z1015" s="16"/>
      <x:c r="AA1015" s="16"/>
      <x:c r="AB1015" s="16"/>
      <x:c r="AC1015" s="16"/>
      <x:c r="AD1015" s="16"/>
    </x:row>
    <x:row r="1016">
      <x:c r="M1016" s="16"/>
      <x:c r="N1016" s="16"/>
      <x:c r="O1016" s="16"/>
      <x:c r="P1016" s="16"/>
      <x:c r="Q1016" s="16"/>
      <x:c r="R1016" s="16"/>
      <x:c r="S1016" s="16"/>
      <x:c r="T1016" s="16"/>
      <x:c r="U1016" s="16"/>
      <x:c r="V1016" s="16"/>
      <x:c r="W1016" s="16"/>
      <x:c r="X1016" s="16"/>
      <x:c r="Y1016" s="16"/>
      <x:c r="Z1016" s="16"/>
      <x:c r="AA1016" s="16"/>
      <x:c r="AB1016" s="16"/>
      <x:c r="AC1016" s="16"/>
      <x:c r="AD1016" s="16"/>
    </x:row>
  </x:sheetData>
  <x:mergeCells>
    <x:mergeCell ref="M4:P4"/>
  </x:mergeCells>
  <x:dataValidations count="2">
    <x:dataValidation type="list" allowBlank="1" showErrorMessage="1" sqref="L2:L82">
      <x:formula1>"To Do,In Progress,Done"</x:formula1>
    </x:dataValidation>
    <x:dataValidation type="list" allowBlank="1" showErrorMessage="1" sqref="K2:K82">
      <x:formula1>"High,Medium,Low"</x:formula1>
    </x:dataValidation>
  </x:dataValidations>
  <x:pageMargins left="0.7" right="0.7" top="0.75" bottom="0.75" header="0.3" footer="0.3"/>
  <x:legacyDrawing xmlns:r="http://schemas.openxmlformats.org/officeDocument/2006/relationships" r:id="R79b4351847c24dbf"/>
  <x:tableParts count="1">
    <x:tablePart xmlns:r="http://schemas.openxmlformats.org/officeDocument/2006/relationships" r:id="Raf2478bd2d994ab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58" hidden="0" customWidth="1"/>
    <x:col min="8" max="8" width="58" hidden="0" customWidth="1"/>
    <x:col min="9" max="9" width="50" hidden="0" customWidth="1"/>
  </x:cols>
  <x:sheetData>
    <x:row r="1">
      <x:c r="A1" s="29" t="str">
        <x:v>Source Index</x:v>
      </x:c>
      <x:c r="B1" s="29" t="str">
        <x:v>Original FR ID</x:v>
      </x:c>
      <x:c r="C1" s="29" t="str">
        <x:v>Final FR ID</x:v>
      </x:c>
      <x:c r="D1" s="29" t="str">
        <x:v>User Story ID</x:v>
      </x:c>
      <x:c r="E1" s="29" t="str">
        <x:v>Module</x:v>
      </x:c>
      <x:c r="F1" s="29" t="str">
        <x:v>Audit Result</x:v>
      </x:c>
      <x:c r="G1" s="29" t="str">
        <x:v>Finding</x:v>
      </x:c>
      <x:c r="H1" s="29" t="str">
        <x:v>Resolution</x:v>
      </x:c>
      <x:c r="I1" s="29" t="str">
        <x:v>Owning Diagram</x:v>
      </x:c>
    </x:row>
    <x:row r="2">
      <x:c r="A2" s="31" t="n">
        <x:v>1</x:v>
      </x:c>
      <x:c r="B2" s="31" t="str">
        <x:v>FR_1</x:v>
      </x:c>
      <x:c r="C2" s="31" t="str">
        <x:v>FR_1</x:v>
      </x:c>
      <x:c r="D2" s="31" t="str">
        <x:v>US_1</x:v>
      </x:c>
      <x:c r="E2" s="31" t="str">
        <x:v>Authentication &amp; Profile</x:v>
      </x:c>
      <x:c r="F2" s="31" t="str">
        <x:v>Reworded</x:v>
      </x:c>
      <x:c r="G2" s="31" t="str">
        <x:v>Used the old Unverified label and implied that registration itself creates a verified account.</x:v>
      </x:c>
      <x:c r="H2" s="31" t="str">
        <x:v>Registration now creates PENDING_VERIFICATION; verification is handled by FR_2.</x:v>
      </x:c>
      <x:c r="I2" s="31" t="str">
        <x:v>UniConnect_Authentication_Profile_Class_Diagram_Corrected.drawio</x:v>
      </x:c>
    </x:row>
    <x:row r="3">
      <x:c r="A3" s="31" t="n">
        <x:v>2</x:v>
      </x:c>
      <x:c r="B3" s="31" t="str">
        <x:v>FR_2</x:v>
      </x:c>
      <x:c r="C3" s="31" t="str">
        <x:v>FR_2</x:v>
      </x:c>
      <x:c r="D3" s="31" t="str">
        <x:v>US_2.1</x:v>
      </x:c>
      <x:c r="E3" s="31" t="str">
        <x:v>Authentication &amp; Profile</x:v>
      </x:c>
      <x:c r="F3" s="31" t="str">
        <x:v>Reworded</x:v>
      </x:c>
      <x:c r="G3" s="31" t="str">
        <x:v>Used Verified/Unverified as a second account-state model.</x:v>
      </x:c>
      <x:c r="H3" s="31" t="str">
        <x:v>Aligned verification with canonical AccountStatus and hashed one-time tokens.</x:v>
      </x:c>
      <x:c r="I3" s="31" t="str">
        <x:v>UniConnect_Authentication_Profile_Class_Diagram_Corrected.drawio</x:v>
      </x:c>
    </x:row>
    <x:row r="4">
      <x:c r="A4" s="31" t="n">
        <x:v>3</x:v>
      </x:c>
      <x:c r="B4" s="31" t="str">
        <x:v>FR_2</x:v>
      </x:c>
      <x:c r="C4" s="31" t="str">
        <x:v>FR_73</x:v>
      </x:c>
      <x:c r="D4" s="31" t="str">
        <x:v>US_73</x:v>
      </x:c>
      <x:c r="E4" s="31" t="str">
        <x:v>Authentication &amp; Profile</x:v>
      </x:c>
      <x:c r="F4" s="31" t="str">
        <x:v>Split</x:v>
      </x:c>
      <x:c r="G4" s="31" t="str">
        <x:v>Requesting a replacement link is a different system action from consuming a verification link.</x:v>
      </x:c>
      <x:c r="H4" s="31" t="str">
        <x:v>Separated the resend behavior into atomic FR_73.</x:v>
      </x:c>
      <x:c r="I4" s="31" t="str">
        <x:v>UniConnect_Authentication_Profile_Class_Diagram_Corrected.drawio</x:v>
      </x:c>
    </x:row>
    <x:row r="5">
      <x:c r="A5" s="31" t="n">
        <x:v>4</x:v>
      </x:c>
      <x:c r="B5" s="31" t="str">
        <x:v>FR_3</x:v>
      </x:c>
      <x:c r="C5" s="31" t="str">
        <x:v>FR_3</x:v>
      </x:c>
      <x:c r="D5" s="31" t="str">
        <x:v>US_3</x:v>
      </x:c>
      <x:c r="E5" s="31" t="str">
        <x:v>Authentication &amp; Profile</x:v>
      </x:c>
      <x:c r="F5" s="31" t="str">
        <x:v>Reworded</x:v>
      </x:c>
      <x:c r="G5" s="31" t="str">
        <x:v>Login was tied to the obsolete Verified label and did not state the runtime account check.</x:v>
      </x:c>
      <x:c r="H5" s="31" t="str">
        <x:v>Restricted session creation and protected access to ACTIVE accounts.</x:v>
      </x:c>
      <x:c r="I5" s="31" t="str">
        <x:v>UniConnect_Authentication_Profile_Class_Diagram_Corrected.drawio</x:v>
      </x:c>
    </x:row>
    <x:row r="6">
      <x:c r="A6" s="31" t="n">
        <x:v>5</x:v>
      </x:c>
      <x:c r="B6" s="31" t="str">
        <x:v>FR_4</x:v>
      </x:c>
      <x:c r="C6" s="31" t="str">
        <x:v>FR_4</x:v>
      </x:c>
      <x:c r="D6" s="31" t="str">
        <x:v>US_4</x:v>
      </x:c>
      <x:c r="E6" s="31" t="str">
        <x:v>Authentication &amp; Profile</x:v>
      </x:c>
      <x:c r="F6" s="31" t="str">
        <x:v>Reworded</x:v>
      </x:c>
      <x:c r="G6" s="31" t="str">
        <x:v>Said the old password was deleted and did not reflect hashed credentials/tokens.</x:v>
      </x:c>
      <x:c r="H6" s="31" t="str">
        <x:v>Clarified replacement of the password hash and secure reset-token storage.</x:v>
      </x:c>
      <x:c r="I6" s="31" t="str">
        <x:v>UniConnect_Authentication_Profile_Class_Diagram_Corrected.drawio</x:v>
      </x:c>
    </x:row>
    <x:row r="7">
      <x:c r="A7" s="31" t="n">
        <x:v>6</x:v>
      </x:c>
      <x:c r="B7" s="31" t="str">
        <x:v>FR_5</x:v>
      </x:c>
      <x:c r="C7" s="31" t="str">
        <x:v>FR_5</x:v>
      </x:c>
      <x:c r="D7" s="31" t="str">
        <x:v>US_5.1</x:v>
      </x:c>
      <x:c r="E7" s="31" t="str">
        <x:v>Authentication &amp; Profile</x:v>
      </x:c>
      <x:c r="F7" s="31" t="str">
        <x:v>Reworded</x:v>
      </x:c>
      <x:c r="G7" s="31" t="str">
        <x:v>Referred to Student and Alumni as contexts, although they are PlatformRole values.</x:v>
      </x:c>
      <x:c r="H7" s="31" t="str">
        <x:v>Aligned the UI with PERSONAL, CLUB, and SYSTEM_ADMINISTRATION contexts.</x:v>
      </x:c>
      <x:c r="I7" s="31" t="str">
        <x:v>UniConnect_Authentication_Profile_Class_Diagram_Corrected.drawio</x:v>
      </x:c>
    </x:row>
    <x:row r="8">
      <x:c r="A8" s="31" t="n">
        <x:v>7</x:v>
      </x:c>
      <x:c r="B8" s="31" t="str">
        <x:v>FR_5</x:v>
      </x:c>
      <x:c r="C8" s="31" t="str">
        <x:v>FR_74</x:v>
      </x:c>
      <x:c r="D8" s="31" t="str">
        <x:v>US_74</x:v>
      </x:c>
      <x:c r="E8" s="31" t="str">
        <x:v>Authentication &amp; Profile</x:v>
      </x:c>
      <x:c r="F8" s="31" t="str">
        <x:v>Split</x:v>
      </x:c>
      <x:c r="G8" s="31" t="str">
        <x:v>UI visibility and server-side resource authorization were combined in FR_5.</x:v>
      </x:c>
      <x:c r="H8" s="31" t="str">
        <x:v>Separated enforceable club authorization into FR_74.</x:v>
      </x:c>
      <x:c r="I8" s="31" t="str">
        <x:v>UniConnect_Authentication_Profile_Class_Diagram_Corrected.drawio</x:v>
      </x:c>
    </x:row>
    <x:row r="9">
      <x:c r="A9" s="31" t="n">
        <x:v>8</x:v>
      </x:c>
      <x:c r="B9" s="31" t="str">
        <x:v>FR_6</x:v>
      </x:c>
      <x:c r="C9" s="31" t="str">
        <x:v>FR_6</x:v>
      </x:c>
      <x:c r="D9" s="31" t="str">
        <x:v>US_6.1</x:v>
      </x:c>
      <x:c r="E9" s="31" t="str">
        <x:v>Authentication &amp; Profile</x:v>
      </x:c>
      <x:c r="F9" s="31" t="str">
        <x:v>Reworded</x:v>
      </x:c>
      <x:c r="G9" s="31" t="str">
        <x:v>Combined profile creation with availability maintenance, which has a separate lifecycle.</x:v>
      </x:c>
      <x:c r="H9" s="31" t="str">
        <x:v>Kept profile creation in FR_6 and moved availability to FR_75.</x:v>
      </x:c>
      <x:c r="I9" s="31" t="str">
        <x:v>UniConnect_Authentication_Profile_Class_Diagram_Corrected.drawio</x:v>
      </x:c>
    </x:row>
    <x:row r="10">
      <x:c r="A10" s="31" t="n">
        <x:v>9</x:v>
      </x:c>
      <x:c r="B10" s="31" t="str">
        <x:v>FR_6</x:v>
      </x:c>
      <x:c r="C10" s="31" t="str">
        <x:v>FR_75</x:v>
      </x:c>
      <x:c r="D10" s="31" t="str">
        <x:v>US_75</x:v>
      </x:c>
      <x:c r="E10" s="31" t="str">
        <x:v>Authentication &amp; Profile</x:v>
      </x:c>
      <x:c r="F10" s="31" t="str">
        <x:v>Split</x:v>
      </x:c>
      <x:c r="G10" s="31" t="str">
        <x:v>Availability updates were hidden inside the profile-creation FR.</x:v>
      </x:c>
      <x:c r="H10" s="31" t="str">
        <x:v>Separated availability maintenance into atomic FR_75.</x:v>
      </x:c>
      <x:c r="I10" s="31" t="str">
        <x:v>UniConnect_Authentication_Profile_Class_Diagram_Corrected.drawio</x:v>
      </x:c>
    </x:row>
    <x:row r="11">
      <x:c r="A11" s="31" t="n">
        <x:v>10</x:v>
      </x:c>
      <x:c r="B11" s="31" t="str">
        <x:v>FR_7</x:v>
      </x:c>
      <x:c r="C11" s="31" t="str">
        <x:v>FR_7</x:v>
      </x:c>
      <x:c r="D11" s="31" t="str">
        <x:v>US_7.1</x:v>
      </x:c>
      <x:c r="E11" s="31" t="str">
        <x:v>Authentication &amp; Profile</x:v>
      </x:c>
      <x:c r="F11" s="31" t="str">
        <x:v>Aligned</x:v>
      </x:c>
      <x:c r="G11" s="31" t="str">
        <x:v>No material contradiction found against the confirmed business rules and corrected owning diagram.</x:v>
      </x:c>
      <x:c r="H11" s="31" t="str">
        <x:v>Retained without functional change.</x:v>
      </x:c>
      <x:c r="I11" s="31" t="str">
        <x:v>UniConnect_Authentication_Profile_Class_Diagram_Corrected.drawio</x:v>
      </x:c>
    </x:row>
    <x:row r="12">
      <x:c r="A12" s="31" t="n">
        <x:v>11</x:v>
      </x:c>
      <x:c r="B12" s="31" t="str">
        <x:v>FR_7</x:v>
      </x:c>
      <x:c r="C12" s="31" t="str">
        <x:v>FR_76</x:v>
      </x:c>
      <x:c r="D12" s="31" t="str">
        <x:v>US_76</x:v>
      </x:c>
      <x:c r="E12" s="31" t="str">
        <x:v>Authentication &amp; Profile</x:v>
      </x:c>
      <x:c r="F12" s="31" t="str">
        <x:v>Split</x:v>
      </x:c>
      <x:c r="G12" s="31" t="str">
        <x:v>Alumni-profile creation and alumni discovery were combined under FR_7.</x:v>
      </x:c>
      <x:c r="H12" s="31" t="str">
        <x:v>Separated profile search/filtering into FR_76.</x:v>
      </x:c>
      <x:c r="I12" s="31" t="str">
        <x:v>UniConnect_Authentication_Profile_Class_Diagram_Corrected.drawio</x:v>
      </x:c>
    </x:row>
    <x:row r="13">
      <x:c r="A13" s="31" t="n">
        <x:v>12</x:v>
      </x:c>
      <x:c r="B13" s="31" t="str">
        <x:v>FR_8</x:v>
      </x:c>
      <x:c r="C13" s="31" t="str">
        <x:v>FR_8</x:v>
      </x:c>
      <x:c r="D13" s="31" t="str">
        <x:v>US_8.1</x:v>
      </x:c>
      <x:c r="E13" s="31" t="str">
        <x:v>Authentication &amp; Profile</x:v>
      </x:c>
      <x:c r="F13" s="31" t="str">
        <x:v>Aligned</x:v>
      </x:c>
      <x:c r="G13" s="31" t="str">
        <x:v>No material contradiction found against the confirmed business rules and corrected owning diagram.</x:v>
      </x:c>
      <x:c r="H13" s="31" t="str">
        <x:v>Retained without functional change.</x:v>
      </x:c>
      <x:c r="I13" s="31" t="str">
        <x:v>UniConnect_Authentication_Profile_Class_Diagram_Corrected.drawio</x:v>
      </x:c>
    </x:row>
    <x:row r="14">
      <x:c r="A14" s="31" t="n">
        <x:v>13</x:v>
      </x:c>
      <x:c r="B14" s="31" t="str">
        <x:v>FR_9</x:v>
      </x:c>
      <x:c r="C14" s="31" t="str">
        <x:v>FR_9</x:v>
      </x:c>
      <x:c r="D14" s="31" t="str">
        <x:v>US_9.1</x:v>
      </x:c>
      <x:c r="E14" s="31" t="str">
        <x:v>Authentication &amp; Profile</x:v>
      </x:c>
      <x:c r="F14" s="31" t="str">
        <x:v>Reworded</x:v>
      </x:c>
      <x:c r="G14" s="31" t="str">
        <x:v>Used ambiguous role wording and contained a terminology typo.</x:v>
      </x:c>
      <x:c r="H14" s="31" t="str">
        <x:v>Referenced PlatformRole and corrected profile-view terminology.</x:v>
      </x:c>
      <x:c r="I14" s="31" t="str">
        <x:v>UniConnect_Authentication_Profile_Class_Diagram_Corrected.drawio</x:v>
      </x:c>
    </x:row>
    <x:row r="15">
      <x:c r="A15" s="31" t="n">
        <x:v>14</x:v>
      </x:c>
      <x:c r="B15" s="31" t="str">
        <x:v>FR_9</x:v>
      </x:c>
      <x:c r="C15" s="31" t="str">
        <x:v>FR_9</x:v>
      </x:c>
      <x:c r="D15" s="31" t="str">
        <x:v>US_9.2</x:v>
      </x:c>
      <x:c r="E15" s="31" t="str">
        <x:v>Authentication &amp; Profile</x:v>
      </x:c>
      <x:c r="F15" s="31" t="str">
        <x:v>Aligned</x:v>
      </x:c>
      <x:c r="G15" s="31" t="str">
        <x:v>No material contradiction found against the confirmed business rules and corrected owning diagram.</x:v>
      </x:c>
      <x:c r="H15" s="31" t="str">
        <x:v>Retained without functional change.</x:v>
      </x:c>
      <x:c r="I15" s="31" t="str">
        <x:v>UniConnect_Authentication_Profile_Class_Diagram_Corrected.drawio</x:v>
      </x:c>
    </x:row>
    <x:row r="16">
      <x:c r="A16" s="31" t="n">
        <x:v>15</x:v>
      </x:c>
      <x:c r="B16" s="31" t="str">
        <x:v>FR_10</x:v>
      </x:c>
      <x:c r="C16" s="31" t="str">
        <x:v>FR_10</x:v>
      </x:c>
      <x:c r="D16" s="31" t="str">
        <x:v>US_10</x:v>
      </x:c>
      <x:c r="E16" s="31" t="str">
        <x:v>Club Identity &amp; Context</x:v>
      </x:c>
      <x:c r="F16" s="31" t="str">
        <x:v>Reworded</x:v>
      </x:c>
      <x:c r="G16" s="31" t="str">
        <x:v>Allowed a Club to be created without the single required administrator and referenced an undefined Pending club status.</x:v>
      </x:c>
      <x:c r="H16" s="31" t="str">
        <x:v>Made Club creation and first-administrator appointment atomic and used canonical ClubStatus.</x:v>
      </x:c>
      <x:c r="I16" s="31" t="str">
        <x:v>UniConnect_Shared_Domain_Model_Corrected.drawio</x:v>
      </x:c>
    </x:row>
    <x:row r="17">
      <x:c r="A17" s="31" t="n">
        <x:v>16</x:v>
      </x:c>
      <x:c r="B17" s="31" t="str">
        <x:v>FR_11</x:v>
      </x:c>
      <x:c r="C17" s="31" t="str">
        <x:v>FR_11</x:v>
      </x:c>
      <x:c r="D17" s="31" t="str">
        <x:v>US_11</x:v>
      </x:c>
      <x:c r="E17" s="31" t="str">
        <x:v>Club Identity &amp; Context</x:v>
      </x:c>
      <x:c r="F17" s="31" t="str">
        <x:v>Aligned</x:v>
      </x:c>
      <x:c r="G17" s="31" t="str">
        <x:v>No material contradiction found against the confirmed business rules and corrected owning diagram.</x:v>
      </x:c>
      <x:c r="H17" s="31" t="str">
        <x:v>Retained without functional change.</x:v>
      </x:c>
      <x:c r="I17" s="31" t="str">
        <x:v>UniConnect_Shared_Domain_Model_Corrected.drawio</x:v>
      </x:c>
    </x:row>
    <x:row r="18">
      <x:c r="A18" s="31" t="n">
        <x:v>17</x:v>
      </x:c>
      <x:c r="B18" s="31" t="str">
        <x:v>FR_12</x:v>
      </x:c>
      <x:c r="C18" s="31" t="str">
        <x:v>FR_12</x:v>
      </x:c>
      <x:c r="D18" s="31" t="str">
        <x:v>US_12</x:v>
      </x:c>
      <x:c r="E18" s="31" t="str">
        <x:v>Club Identity &amp; Context</x:v>
      </x:c>
      <x:c r="F18" s="31" t="str">
        <x:v>Reworded</x:v>
      </x:c>
      <x:c r="G18" s="31" t="str">
        <x:v>Permitted any verified user and did not enforce one administered Club per User or atomic creation.</x:v>
      </x:c>
      <x:c r="H18" s="31" t="str">
        <x:v>Aligned first-administrator eligibility and invariants with the shared model.</x:v>
      </x:c>
      <x:c r="I18" s="31" t="str">
        <x:v>UniConnect_Shared_Domain_Model_Corrected.drawio</x:v>
      </x:c>
    </x:row>
    <x:row r="19">
      <x:c r="A19" s="31" t="n">
        <x:v>18</x:v>
      </x:c>
      <x:c r="B19" s="31" t="str">
        <x:v>FR_13</x:v>
      </x:c>
      <x:c r="C19" s="31" t="str">
        <x:v>FR_13</x:v>
      </x:c>
      <x:c r="D19" s="31" t="str">
        <x:v>US_13</x:v>
      </x:c>
      <x:c r="E19" s="31" t="str">
        <x:v>Club Identity &amp; Context</x:v>
      </x:c>
      <x:c r="F19" s="31" t="str">
        <x:v>Reworded</x:v>
      </x:c>
      <x:c r="G19" s="31" t="str">
        <x:v>Used global Club Admin/Representative language and only required a generic verified account.</x:v>
      </x:c>
      <x:c r="H19" s="31" t="str">
        <x:v>Made both roles assignment-scoped and restricted assignees to ACTIVE STUDENT users.</x:v>
      </x:c>
      <x:c r="I19" s="31" t="str">
        <x:v>UniConnect_Shared_Domain_Model_Corrected.drawio</x:v>
      </x:c>
    </x:row>
    <x:row r="20">
      <x:c r="A20" s="31" t="n">
        <x:v>19</x:v>
      </x:c>
      <x:c r="B20" s="31" t="str">
        <x:v>FR_14</x:v>
      </x:c>
      <x:c r="C20" s="31" t="str">
        <x:v>FR_14</x:v>
      </x:c>
      <x:c r="D20" s="31" t="str">
        <x:v>US_14</x:v>
      </x:c>
      <x:c r="E20" s="31" t="str">
        <x:v>Club Identity &amp; Context</x:v>
      </x:c>
      <x:c r="F20" s="31" t="str">
        <x:v>Reworded</x:v>
      </x:c>
      <x:c r="G20" s="31" t="str">
        <x:v>Used an undefined active/inactive assignment state.</x:v>
      </x:c>
      <x:c r="H20" s="31" t="str">
        <x:v>Derived current assignment state from revokedAt.</x:v>
      </x:c>
      <x:c r="I20" s="31" t="str">
        <x:v>UniConnect_Shared_Domain_Model_Corrected.drawio</x:v>
      </x:c>
    </x:row>
    <x:row r="21">
      <x:c r="A21" s="31" t="n">
        <x:v>20</x:v>
      </x:c>
      <x:c r="B21" s="31" t="str">
        <x:v>FR_15</x:v>
      </x:c>
      <x:c r="C21" s="31" t="str">
        <x:v>FR_15</x:v>
      </x:c>
      <x:c r="D21" s="31" t="str">
        <x:v>US_15</x:v>
      </x:c>
      <x:c r="E21" s="31" t="str">
        <x:v>Club Identity &amp; Context</x:v>
      </x:c>
      <x:c r="F21" s="31" t="str">
        <x:v>Reworded</x:v>
      </x:c>
      <x:c r="G21" s="31" t="str">
        <x:v>Used a separate active flag and did not state context invalidation.</x:v>
      </x:c>
      <x:c r="H21" s="31" t="str">
        <x:v>Defined revocation through revokedAt and immediate removal of the affected Club context.</x:v>
      </x:c>
      <x:c r="I21" s="31" t="str">
        <x:v>UniConnect_Shared_Domain_Model_Corrected.drawio</x:v>
      </x:c>
    </x:row>
    <x:row r="22">
      <x:c r="A22" s="31" t="n">
        <x:v>21</x:v>
      </x:c>
      <x:c r="B22" s="31" t="str">
        <x:v>FR_16</x:v>
      </x:c>
      <x:c r="C22" s="31" t="str">
        <x:v>FR_16</x:v>
      </x:c>
      <x:c r="D22" s="31" t="str">
        <x:v>US_16</x:v>
      </x:c>
      <x:c r="E22" s="31" t="str">
        <x:v>Club Identity &amp; Context</x:v>
      </x:c>
      <x:c r="F22" s="31" t="str">
        <x:v>Reworded</x:v>
      </x:c>
      <x:c r="G22" s="31" t="str">
        <x:v>Standalone administrator revocation would leave a non-removed Club without its required administrator.</x:v>
      </x:c>
      <x:c r="H22" s="31" t="str">
        <x:v>Replaced removal with an atomic administrator-replacement operation.</x:v>
      </x:c>
      <x:c r="I22" s="31" t="str">
        <x:v>UniConnect_Shared_Domain_Model_Corrected.drawio</x:v>
      </x:c>
    </x:row>
    <x:row r="23">
      <x:c r="A23" s="31" t="n">
        <x:v>22</x:v>
      </x:c>
      <x:c r="B23" s="31" t="str">
        <x:v>FR_17</x:v>
      </x:c>
      <x:c r="C23" s="31" t="str">
        <x:v>FR_17</x:v>
      </x:c>
      <x:c r="D23" s="31" t="str">
        <x:v>US_17</x:v>
      </x:c>
      <x:c r="E23" s="31" t="str">
        <x:v>Club Identity &amp; Context</x:v>
      </x:c>
      <x:c r="F23" s="31" t="str">
        <x:v>Reworded</x:v>
      </x:c>
      <x:c r="G23" s="31" t="str">
        <x:v>Used Student as a context type and invented inactive/expired assignment states.</x:v>
      </x:c>
      <x:c r="H23" s="31" t="str">
        <x:v>Aligned available contexts with ContextType and current-assignment derivation.</x:v>
      </x:c>
      <x:c r="I23" s="31" t="str">
        <x:v>UniConnect_Shared_Domain_Model_Corrected.drawio</x:v>
      </x:c>
    </x:row>
    <x:row r="24">
      <x:c r="A24" s="31" t="n">
        <x:v>23</x:v>
      </x:c>
      <x:c r="B24" s="31" t="str">
        <x:v>FR_18</x:v>
      </x:c>
      <x:c r="C24" s="31" t="str">
        <x:v>FR_18</x:v>
      </x:c>
      <x:c r="D24" s="31" t="str">
        <x:v>US_18</x:v>
      </x:c>
      <x:c r="E24" s="31" t="str">
        <x:v>Club Identity &amp; Context</x:v>
      </x:c>
      <x:c r="F24" s="31" t="str">
        <x:v>Reworded</x:v>
      </x:c>
      <x:c r="G24" s="31" t="str">
        <x:v>Described dashboards as permanent roles rather than session-scoped contexts.</x:v>
      </x:c>
      <x:c r="H24" s="31" t="str">
        <x:v>Made ActiveContext a session-scoped selection with no authority of its own.</x:v>
      </x:c>
      <x:c r="I24" s="31" t="str">
        <x:v>UniConnect_Shared_Domain_Model_Corrected.drawio</x:v>
      </x:c>
    </x:row>
    <x:row r="25">
      <x:c r="A25" s="31" t="n">
        <x:v>24</x:v>
      </x:c>
      <x:c r="B25" s="31" t="str">
        <x:v>FR_19</x:v>
      </x:c>
      <x:c r="C25" s="31" t="str">
        <x:v>FR_19</x:v>
      </x:c>
      <x:c r="D25" s="31" t="str">
        <x:v>US_19</x:v>
      </x:c>
      <x:c r="E25" s="31" t="str">
        <x:v>Club Identity &amp; Context</x:v>
      </x:c>
      <x:c r="F25" s="31" t="str">
        <x:v>Reworded</x:v>
      </x:c>
      <x:c r="G25" s="31" t="str">
        <x:v>Limited switching to Student/Club dashboards and did not state that authority is revalidated.</x:v>
      </x:c>
      <x:c r="H25" s="31" t="str">
        <x:v>Aligned switching with the canonical session/context model.</x:v>
      </x:c>
      <x:c r="I25" s="31" t="str">
        <x:v>UniConnect_Shared_Domain_Model_Corrected.drawio</x:v>
      </x:c>
    </x:row>
    <x:row r="26">
      <x:c r="A26" s="31" t="n">
        <x:v>25</x:v>
      </x:c>
      <x:c r="B26" s="31" t="str">
        <x:v>FR_20</x:v>
      </x:c>
      <x:c r="C26" s="31" t="str">
        <x:v>FR_20</x:v>
      </x:c>
      <x:c r="D26" s="31" t="str">
        <x:v>US_20</x:v>
      </x:c>
      <x:c r="E26" s="31" t="str">
        <x:v>Club Announcements</x:v>
      </x:c>
      <x:c r="F26" s="31" t="str">
        <x:v>Reworded</x:v>
      </x:c>
      <x:c r="G26" s="31" t="str">
        <x:v>Used an undefined active role flag and did not bind authorship to the exact assignment.</x:v>
      </x:c>
      <x:c r="H26" s="31" t="str">
        <x:v>Used current assignment, canonical ClubStatus, and AnnouncementPriority.</x:v>
      </x:c>
      <x:c r="I26" s="31" t="str">
        <x:v>UniConnect_Club_Announcement_Class_Diagram_Corrected.drawio</x:v>
      </x:c>
    </x:row>
    <x:row r="27">
      <x:c r="A27" s="31" t="n">
        <x:v>26</x:v>
      </x:c>
      <x:c r="B27" s="31" t="str">
        <x:v>FR_21</x:v>
      </x:c>
      <x:c r="C27" s="31" t="str">
        <x:v>FR_21</x:v>
      </x:c>
      <x:c r="D27" s="31" t="str">
        <x:v>US_21</x:v>
      </x:c>
      <x:c r="E27" s="31" t="str">
        <x:v>Club Announcements</x:v>
      </x:c>
      <x:c r="F27" s="31" t="str">
        <x:v>Reworded</x:v>
      </x:c>
      <x:c r="G27" s="31" t="str">
        <x:v>Allowed unspecified broader representative permission.</x:v>
      </x:c>
      <x:c r="H27" s="31" t="str">
        <x:v>Enforced the confirmed own-announcement rule for representatives and own-Club rule for administrators.</x:v>
      </x:c>
      <x:c r="I27" s="31" t="str">
        <x:v>UniConnect_Club_Announcement_Class_Diagram_Corrected.drawio</x:v>
      </x:c>
    </x:row>
    <x:row r="28">
      <x:c r="A28" s="31" t="n">
        <x:v>27</x:v>
      </x:c>
      <x:c r="B28" s="31" t="str">
        <x:v>FR_22</x:v>
      </x:c>
      <x:c r="C28" s="31" t="str">
        <x:v>FR_22</x:v>
      </x:c>
      <x:c r="D28" s="31" t="str">
        <x:v>US_22</x:v>
      </x:c>
      <x:c r="E28" s="31" t="str">
        <x:v>Club Announcements</x:v>
      </x:c>
      <x:c r="F28" s="31" t="str">
        <x:v>Reworded</x:v>
      </x:c>
      <x:c r="G28" s="31" t="str">
        <x:v>Used ambiguous deletion and broader representative permission.</x:v>
      </x:c>
      <x:c r="H28" s="31" t="str">
        <x:v>Defined authorization precisely and modeled removal as a retained lifecycle state.</x:v>
      </x:c>
      <x:c r="I28" s="31" t="str">
        <x:v>UniConnect_Club_Announcement_Class_Diagram_Corrected.drawio</x:v>
      </x:c>
    </x:row>
    <x:row r="29">
      <x:c r="A29" s="31" t="n">
        <x:v>28</x:v>
      </x:c>
      <x:c r="B29" s="31" t="str">
        <x:v>FR_23</x:v>
      </x:c>
      <x:c r="C29" s="31" t="str">
        <x:v>FR_23</x:v>
      </x:c>
      <x:c r="D29" s="31" t="str">
        <x:v>US_23</x:v>
      </x:c>
      <x:c r="E29" s="31" t="str">
        <x:v>Club Announcements</x:v>
      </x:c>
      <x:c r="F29" s="31" t="str">
        <x:v>Reworded</x:v>
      </x:c>
      <x:c r="G29" s="31" t="str">
        <x:v>Restricted globally visible announcements to Students and hid content when publishing was suspended.</x:v>
      </x:c>
      <x:c r="H29" s="31" t="str">
        <x:v>Made visibility public while preserving existing content during publishing suspension.</x:v>
      </x:c>
      <x:c r="I29" s="31" t="str">
        <x:v>UniConnect_Club_Announcement_Class_Diagram_Corrected.drawio</x:v>
      </x:c>
    </x:row>
    <x:row r="30">
      <x:c r="A30" s="31" t="n">
        <x:v>29</x:v>
      </x:c>
      <x:c r="B30" s="31" t="str">
        <x:v>FR_24</x:v>
      </x:c>
      <x:c r="C30" s="31" t="str">
        <x:v>FR_24</x:v>
      </x:c>
      <x:c r="D30" s="31" t="str">
        <x:v>US_24</x:v>
      </x:c>
      <x:c r="E30" s="31" t="str">
        <x:v>Club Announcements</x:v>
      </x:c>
      <x:c r="F30" s="31" t="str">
        <x:v>Reworded</x:v>
      </x:c>
      <x:c r="G30" s="31" t="str">
        <x:v>Announcement visibility is public, not Student-only; category and priority must exist in the model.</x:v>
      </x:c>
      <x:c r="H30" s="31" t="str">
        <x:v>Aligned the actor and added the required Club.category and AnnouncementPriority model fields.</x:v>
      </x:c>
      <x:c r="I30" s="31" t="str">
        <x:v>UniConnect_Club_Announcement_Class_Diagram_Corrected.drawio</x:v>
      </x:c>
    </x:row>
    <x:row r="31">
      <x:c r="A31" s="31" t="n">
        <x:v>30</x:v>
      </x:c>
      <x:c r="B31" s="31" t="str">
        <x:v>FR_25</x:v>
      </x:c>
      <x:c r="C31" s="31" t="str">
        <x:v>FR_25</x:v>
      </x:c>
      <x:c r="D31" s="31" t="str">
        <x:v>US_25</x:v>
      </x:c>
      <x:c r="E31" s="31" t="str">
        <x:v>Connections</x:v>
      </x:c>
      <x:c r="F31" s="31" t="str">
        <x:v>Reworded</x:v>
      </x:c>
      <x:c r="G31" s="31" t="str">
        <x:v>Omitted the confirmed optional introduction and unordered-pair uniqueness.</x:v>
      </x:c>
      <x:c r="H31" s="31" t="str">
        <x:v>Added the introduction and canonical open-connection constraint.</x:v>
      </x:c>
      <x:c r="I31" s="31" t="str">
        <x:v>UniConnect_Connection_Networking_Class_Diagram_Corrected.drawio</x:v>
      </x:c>
    </x:row>
    <x:row r="32">
      <x:c r="A32" s="31" t="n">
        <x:v>31</x:v>
      </x:c>
      <x:c r="B32" s="31" t="str">
        <x:v>FR_26</x:v>
      </x:c>
      <x:c r="C32" s="31" t="str">
        <x:v>FR_26</x:v>
      </x:c>
      <x:c r="D32" s="31" t="str">
        <x:v>US_26</x:v>
      </x:c>
      <x:c r="E32" s="31" t="str">
        <x:v>Connections</x:v>
      </x:c>
      <x:c r="F32" s="31" t="str">
        <x:v>Reworded</x:v>
      </x:c>
      <x:c r="G32" s="31" t="str">
        <x:v>Acceptance was ambiguous about conversation creation and historical retention.</x:v>
      </x:c>
      <x:c r="H32" s="31" t="str">
        <x:v>Confirmed that conversation creation waits for the first ordinary message.</x:v>
      </x:c>
      <x:c r="I32" s="31" t="str">
        <x:v>UniConnect_Connection_Networking_Class_Diagram_Corrected.drawio</x:v>
      </x:c>
    </x:row>
    <x:row r="33">
      <x:c r="A33" s="31" t="n">
        <x:v>32</x:v>
      </x:c>
      <x:c r="B33" s="31" t="str">
        <x:v>FR_27</x:v>
      </x:c>
      <x:c r="C33" s="31" t="str">
        <x:v>FR_27</x:v>
      </x:c>
      <x:c r="D33" s="31" t="str">
        <x:v>US_27</x:v>
      </x:c>
      <x:c r="E33" s="31" t="str">
        <x:v>Connections</x:v>
      </x:c>
      <x:c r="F33" s="31" t="str">
        <x:v>Aligned</x:v>
      </x:c>
      <x:c r="G33" s="31" t="str">
        <x:v>No material contradiction found against the confirmed business rules and corrected owning diagram.</x:v>
      </x:c>
      <x:c r="H33" s="31" t="str">
        <x:v>Retained without functional change.</x:v>
      </x:c>
      <x:c r="I33" s="31" t="str">
        <x:v>UniConnect_Connection_Networking_Class_Diagram_Corrected.drawio</x:v>
      </x:c>
    </x:row>
    <x:row r="34">
      <x:c r="A34" s="31" t="n">
        <x:v>33</x:v>
      </x:c>
      <x:c r="B34" s="31" t="str">
        <x:v>FR_28</x:v>
      </x:c>
      <x:c r="C34" s="31" t="str">
        <x:v>FR_28</x:v>
      </x:c>
      <x:c r="D34" s="31" t="str">
        <x:v>US_28</x:v>
      </x:c>
      <x:c r="E34" s="31" t="str">
        <x:v>Connections</x:v>
      </x:c>
      <x:c r="F34" s="31" t="str">
        <x:v>Reworded</x:v>
      </x:c>
      <x:c r="G34" s="31" t="str">
        <x:v>Said chat was disabled without distinguishing new sends from retained history.</x:v>
      </x:c>
      <x:c r="H34" s="31" t="str">
        <x:v>Blocked future messaging while preserving the existing conversation and connection history.</x:v>
      </x:c>
      <x:c r="I34" s="31" t="str">
        <x:v>UniConnect_Connection_Networking_Class_Diagram_Corrected.drawio</x:v>
      </x:c>
    </x:row>
    <x:row r="35">
      <x:c r="A35" s="31" t="n">
        <x:v>34</x:v>
      </x:c>
      <x:c r="B35" s="31" t="str">
        <x:v>FR_29</x:v>
      </x:c>
      <x:c r="C35" s="31" t="str">
        <x:v>FR_29</x:v>
      </x:c>
      <x:c r="D35" s="31" t="str">
        <x:v>US_29.1</x:v>
      </x:c>
      <x:c r="E35" s="31" t="str">
        <x:v>Project Teammate Finder</x:v>
      </x:c>
      <x:c r="F35" s="31" t="str">
        <x:v>Aligned</x:v>
      </x:c>
      <x:c r="G35" s="31" t="str">
        <x:v>No material contradiction found against the confirmed business rules and corrected owning diagram.</x:v>
      </x:c>
      <x:c r="H35" s="31" t="str">
        <x:v>Retained without functional change.</x:v>
      </x:c>
      <x:c r="I35" s="31" t="str">
        <x:v>UniConnect_Project_Teammate_Finder_Class_Diagram_Corrected.drawio</x:v>
      </x:c>
    </x:row>
    <x:row r="36">
      <x:c r="A36" s="31" t="n">
        <x:v>35</x:v>
      </x:c>
      <x:c r="B36" s="31" t="str">
        <x:v>FR_29</x:v>
      </x:c>
      <x:c r="C36" s="31" t="str">
        <x:v>FR_29</x:v>
      </x:c>
      <x:c r="D36" s="31" t="str">
        <x:v>US_29.2</x:v>
      </x:c>
      <x:c r="E36" s="31" t="str">
        <x:v>Project Teammate Finder</x:v>
      </x:c>
      <x:c r="F36" s="31" t="str">
        <x:v>Aligned</x:v>
      </x:c>
      <x:c r="G36" s="31" t="str">
        <x:v>No material contradiction found against the confirmed business rules and corrected owning diagram.</x:v>
      </x:c>
      <x:c r="H36" s="31" t="str">
        <x:v>Retained without functional change.</x:v>
      </x:c>
      <x:c r="I36" s="31" t="str">
        <x:v>UniConnect_Project_Teammate_Finder_Class_Diagram_Corrected.drawio</x:v>
      </x:c>
    </x:row>
    <x:row r="37">
      <x:c r="A37" s="31" t="n">
        <x:v>36</x:v>
      </x:c>
      <x:c r="B37" s="31" t="str">
        <x:v>FR_30</x:v>
      </x:c>
      <x:c r="C37" s="31" t="str">
        <x:v>FR_30</x:v>
      </x:c>
      <x:c r="D37" s="31" t="str">
        <x:v>US_30</x:v>
      </x:c>
      <x:c r="E37" s="31" t="str">
        <x:v>Project Teammate Finder</x:v>
      </x:c>
      <x:c r="F37" s="31" t="str">
        <x:v>Reworded</x:v>
      </x:c>
      <x:c r="G37" s="31" t="str">
        <x:v>Presented recommendations as stored behavior with implied but unconfirmed fixed weighting.</x:v>
      </x:c>
      <x:c r="H37" s="31" t="str">
        <x:v>Made recommendations calculated/transient while retaining the confirmed factors.</x:v>
      </x:c>
      <x:c r="I37" s="31" t="str">
        <x:v>UniConnect_Project_Teammate_Finder_Class_Diagram_Corrected.drawio</x:v>
      </x:c>
    </x:row>
    <x:row r="38">
      <x:c r="A38" s="31" t="n">
        <x:v>37</x:v>
      </x:c>
      <x:c r="B38" s="31" t="str">
        <x:v>FR_31</x:v>
      </x:c>
      <x:c r="C38" s="31" t="str">
        <x:v>FR_31</x:v>
      </x:c>
      <x:c r="D38" s="31" t="str">
        <x:v>US_31</x:v>
      </x:c>
      <x:c r="E38" s="31" t="str">
        <x:v>Project Teammate Finder</x:v>
      </x:c>
      <x:c r="F38" s="31" t="str">
        <x:v>Aligned</x:v>
      </x:c>
      <x:c r="G38" s="31" t="str">
        <x:v>No material contradiction found against the confirmed business rules and corrected owning diagram.</x:v>
      </x:c>
      <x:c r="H38" s="31" t="str">
        <x:v>Retained without functional change.</x:v>
      </x:c>
      <x:c r="I38" s="31" t="str">
        <x:v>UniConnect_Project_Teammate_Finder_Class_Diagram_Corrected.drawio</x:v>
      </x:c>
    </x:row>
    <x:row r="39">
      <x:c r="A39" s="31" t="n">
        <x:v>38</x:v>
      </x:c>
      <x:c r="B39" s="31" t="str">
        <x:v>FR_32</x:v>
      </x:c>
      <x:c r="C39" s="31" t="str">
        <x:v>FR_32</x:v>
      </x:c>
      <x:c r="D39" s="31" t="str">
        <x:v>US_32</x:v>
      </x:c>
      <x:c r="E39" s="31" t="str">
        <x:v>Project Teammate Finder</x:v>
      </x:c>
      <x:c r="F39" s="31" t="str">
        <x:v>Aligned</x:v>
      </x:c>
      <x:c r="G39" s="31" t="str">
        <x:v>No material contradiction found against the confirmed business rules and corrected owning diagram.</x:v>
      </x:c>
      <x:c r="H39" s="31" t="str">
        <x:v>Retained without functional change.</x:v>
      </x:c>
      <x:c r="I39" s="31" t="str">
        <x:v>UniConnect_Project_Teammate_Finder_Class_Diagram_Corrected.drawio</x:v>
      </x:c>
    </x:row>
    <x:row r="40">
      <x:c r="A40" s="31" t="n">
        <x:v>39</x:v>
      </x:c>
      <x:c r="B40" s="31" t="str">
        <x:v>FR_33</x:v>
      </x:c>
      <x:c r="C40" s="31" t="str">
        <x:v>FR_33</x:v>
      </x:c>
      <x:c r="D40" s="31" t="str">
        <x:v>US_33</x:v>
      </x:c>
      <x:c r="E40" s="31" t="str">
        <x:v>Project Teammate Finder</x:v>
      </x:c>
      <x:c r="F40" s="31" t="str">
        <x:v>Reworded</x:v>
      </x:c>
      <x:c r="G40" s="31" t="str">
        <x:v>Available positions were ambiguous about whether the creator counted and implied a stored count.</x:v>
      </x:c>
      <x:c r="H40" s="31" t="str">
        <x:v>Defined total capacity, creator membership, and derived open positions.</x:v>
      </x:c>
      <x:c r="I40" s="31" t="str">
        <x:v>UniConnect_Project_Teammate_Finder_Class_Diagram_Corrected.drawio</x:v>
      </x:c>
    </x:row>
    <x:row r="41">
      <x:c r="A41" s="31" t="n">
        <x:v>40</x:v>
      </x:c>
      <x:c r="B41" s="31" t="str">
        <x:v>FR_34</x:v>
      </x:c>
      <x:c r="C41" s="31" t="str">
        <x:v>FR_34</x:v>
      </x:c>
      <x:c r="D41" s="31" t="str">
        <x:v>US_34</x:v>
      </x:c>
      <x:c r="E41" s="31" t="str">
        <x:v>Project Teammate Finder</x:v>
      </x:c>
      <x:c r="F41" s="31" t="str">
        <x:v>Reworded</x:v>
      </x:c>
      <x:c r="G41" s="31" t="str">
        <x:v>Did not state active-account eligibility, creator/member exclusions, or pair uniqueness.</x:v>
      </x:c>
      <x:c r="H41" s="31" t="str">
        <x:v>Aligned application eligibility and uniqueness with the project model.</x:v>
      </x:c>
      <x:c r="I41" s="31" t="str">
        <x:v>UniConnect_Project_Teammate_Finder_Class_Diagram_Corrected.drawio</x:v>
      </x:c>
    </x:row>
    <x:row r="42">
      <x:c r="A42" s="31" t="n">
        <x:v>41</x:v>
      </x:c>
      <x:c r="B42" s="31" t="str">
        <x:v>FR_35</x:v>
      </x:c>
      <x:c r="C42" s="31" t="str">
        <x:v>FR_35</x:v>
      </x:c>
      <x:c r="D42" s="31" t="str">
        <x:v>US_35</x:v>
      </x:c>
      <x:c r="E42" s="31" t="str">
        <x:v>Project Teammate Finder</x:v>
      </x:c>
      <x:c r="F42" s="31" t="str">
        <x:v>Aligned</x:v>
      </x:c>
      <x:c r="G42" s="31" t="str">
        <x:v>No material contradiction found against the confirmed business rules and corrected owning diagram.</x:v>
      </x:c>
      <x:c r="H42" s="31" t="str">
        <x:v>Retained without functional change.</x:v>
      </x:c>
      <x:c r="I42" s="31" t="str">
        <x:v>UniConnect_Project_Teammate_Finder_Class_Diagram_Corrected.drawio</x:v>
      </x:c>
    </x:row>
    <x:row r="43">
      <x:c r="A43" s="31" t="n">
        <x:v>42</x:v>
      </x:c>
      <x:c r="B43" s="31" t="str">
        <x:v>FR_36</x:v>
      </x:c>
      <x:c r="C43" s="31" t="str">
        <x:v>FR_36</x:v>
      </x:c>
      <x:c r="D43" s="31" t="str">
        <x:v>US_36</x:v>
      </x:c>
      <x:c r="E43" s="31" t="str">
        <x:v>Project Teammate Finder</x:v>
      </x:c>
      <x:c r="F43" s="31" t="str">
        <x:v>Reworded</x:v>
      </x:c>
      <x:c r="G43" s="31" t="str">
        <x:v>Did not require atomic membership creation or a final capacity check.</x:v>
      </x:c>
      <x:c r="H43" s="31" t="str">
        <x:v>Made application acceptance a capacity-safe transaction.</x:v>
      </x:c>
      <x:c r="I43" s="31" t="str">
        <x:v>UniConnect_Project_Teammate_Finder_Class_Diagram_Corrected.drawio</x:v>
      </x:c>
    </x:row>
    <x:row r="44">
      <x:c r="A44" s="31" t="n">
        <x:v>43</x:v>
      </x:c>
      <x:c r="B44" s="31" t="str">
        <x:v>FR_37</x:v>
      </x:c>
      <x:c r="C44" s="31" t="str">
        <x:v>FR_37</x:v>
      </x:c>
      <x:c r="D44" s="31" t="str">
        <x:v>US_37</x:v>
      </x:c>
      <x:c r="E44" s="31" t="str">
        <x:v>Project Teammate Finder</x:v>
      </x:c>
      <x:c r="F44" s="31" t="str">
        <x:v>Aligned</x:v>
      </x:c>
      <x:c r="G44" s="31" t="str">
        <x:v>No material contradiction found against the confirmed business rules and corrected owning diagram.</x:v>
      </x:c>
      <x:c r="H44" s="31" t="str">
        <x:v>Retained without functional change.</x:v>
      </x:c>
      <x:c r="I44" s="31" t="str">
        <x:v>UniConnect_Project_Teammate_Finder_Class_Diagram_Corrected.drawio</x:v>
      </x:c>
    </x:row>
    <x:row r="45">
      <x:c r="A45" s="31" t="n">
        <x:v>44</x:v>
      </x:c>
      <x:c r="B45" s="31" t="str">
        <x:v>FR_38</x:v>
      </x:c>
      <x:c r="C45" s="31" t="str">
        <x:v>FR_38</x:v>
      </x:c>
      <x:c r="D45" s="31" t="str">
        <x:v>US_38.1</x:v>
      </x:c>
      <x:c r="E45" s="31" t="str">
        <x:v>Project Teammate Finder</x:v>
      </x:c>
      <x:c r="F45" s="31" t="str">
        <x:v>Reworded</x:v>
      </x:c>
      <x:c r="G45" s="31" t="str">
        <x:v>Combined close and reopen and left the pending-application policy undefined.</x:v>
      </x:c>
      <x:c r="H45" s="31" t="str">
        <x:v>Kept closing in FR_38 and adopted the confirmed post-closing review policy.</x:v>
      </x:c>
      <x:c r="I45" s="31" t="str">
        <x:v>UniConnect_Project_Teammate_Finder_Class_Diagram_Corrected.drawio</x:v>
      </x:c>
    </x:row>
    <x:row r="46">
      <x:c r="A46" s="31" t="n">
        <x:v>45</x:v>
      </x:c>
      <x:c r="B46" s="31" t="str">
        <x:v>FR_38</x:v>
      </x:c>
      <x:c r="C46" s="31" t="str">
        <x:v>FR_77</x:v>
      </x:c>
      <x:c r="D46" s="31" t="str">
        <x:v>US_77</x:v>
      </x:c>
      <x:c r="E46" s="31" t="str">
        <x:v>Project Teammate Finder</x:v>
      </x:c>
      <x:c r="F46" s="31" t="str">
        <x:v>Split</x:v>
      </x:c>
      <x:c r="G46" s="31" t="str">
        <x:v>Closing and reopening are separate state-transition actions.</x:v>
      </x:c>
      <x:c r="H46" s="31" t="str">
        <x:v>Separated reopening into atomic FR_77.</x:v>
      </x:c>
      <x:c r="I46" s="31" t="str">
        <x:v>UniConnect_Project_Teammate_Finder_Class_Diagram_Corrected.drawio</x:v>
      </x:c>
    </x:row>
    <x:row r="47">
      <x:c r="A47" s="31" t="n">
        <x:v>46</x:v>
      </x:c>
      <x:c r="B47" s="31" t="str">
        <x:v>FR_39</x:v>
      </x:c>
      <x:c r="C47" s="31" t="str">
        <x:v>FR_39</x:v>
      </x:c>
      <x:c r="D47" s="31" t="str">
        <x:v>US_39</x:v>
      </x:c>
      <x:c r="E47" s="31" t="str">
        <x:v>Project Teammate Finder</x:v>
      </x:c>
      <x:c r="F47" s="31" t="str">
        <x:v>Reworded</x:v>
      </x:c>
      <x:c r="G47" s="31" t="str">
        <x:v>Required permanent deletion, contradicting the confirmed historical-preservation rule.</x:v>
      </x:c>
      <x:c r="H47" s="31" t="str">
        <x:v>Changed Project deletion to soft deletion.</x:v>
      </x:c>
      <x:c r="I47" s="31" t="str">
        <x:v>UniConnect_Project_Teammate_Finder_Class_Diagram_Corrected.drawio</x:v>
      </x:c>
    </x:row>
    <x:row r="48">
      <x:c r="A48" s="31" t="n">
        <x:v>47</x:v>
      </x:c>
      <x:c r="B48" s="31" t="str">
        <x:v>FR_40</x:v>
      </x:c>
      <x:c r="C48" s="31" t="str">
        <x:v>FR_40</x:v>
      </x:c>
      <x:c r="D48" s="31" t="str">
        <x:v>US_40</x:v>
      </x:c>
      <x:c r="E48" s="31" t="str">
        <x:v>Peer Mentorship</x:v>
      </x:c>
      <x:c r="F48" s="31" t="str">
        <x:v>Reworded</x:v>
      </x:c>
      <x:c r="G48" s="31" t="str">
        <x:v>The minimum senior-student threshold was undefined.</x:v>
      </x:c>
      <x:c r="H48" s="31" t="str">
        <x:v>Applied the confirmed Year-2-or-above eligibility rule.</x:v>
      </x:c>
      <x:c r="I48" s="31" t="str">
        <x:v>UniConnect_Peer_Mentorship_Class_Diagram_Corrected.drawio</x:v>
      </x:c>
    </x:row>
    <x:row r="49">
      <x:c r="A49" s="31" t="n">
        <x:v>48</x:v>
      </x:c>
      <x:c r="B49" s="31" t="str">
        <x:v>FR_41</x:v>
      </x:c>
      <x:c r="C49" s="31" t="str">
        <x:v>FR_41</x:v>
      </x:c>
      <x:c r="D49" s="31" t="str">
        <x:v>US_41</x:v>
      </x:c>
      <x:c r="E49" s="31" t="str">
        <x:v>Peer Mentorship</x:v>
      </x:c>
      <x:c r="F49" s="31" t="str">
        <x:v>Reworded</x:v>
      </x:c>
      <x:c r="G49" s="31" t="str">
        <x:v>Used a separate verified-Alumni concept and a distinct Alumni Mentor profile.</x:v>
      </x:c>
      <x:c r="H49" s="31" t="str">
        <x:v>Used the canonical ACTIVE ALUMNI account and shared MentorProfile.</x:v>
      </x:c>
      <x:c r="I49" s="31" t="str">
        <x:v>UniConnect_Peer_Mentorship_Class_Diagram_Corrected.drawio</x:v>
      </x:c>
    </x:row>
    <x:row r="50">
      <x:c r="A50" s="31" t="n">
        <x:v>49</x:v>
      </x:c>
      <x:c r="B50" s="31" t="str">
        <x:v>FR_42</x:v>
      </x:c>
      <x:c r="C50" s="31" t="str">
        <x:v>FR_42</x:v>
      </x:c>
      <x:c r="D50" s="31" t="str">
        <x:v>US_42</x:v>
      </x:c>
      <x:c r="E50" s="31" t="str">
        <x:v>Peer Mentorship</x:v>
      </x:c>
      <x:c r="F50" s="31" t="str">
        <x:v>Reworded</x:v>
      </x:c>
      <x:c r="G50" s="31" t="str">
        <x:v>Modeled every slot as one dated session and did not support the confirmed recurring series.</x:v>
      </x:c>
      <x:c r="H50" s="31" t="str">
        <x:v>Separated the enrollable slot series from dated occurrences.</x:v>
      </x:c>
      <x:c r="I50" s="31" t="str">
        <x:v>UniConnect_Peer_Mentorship_Class_Diagram_Corrected.drawio</x:v>
      </x:c>
    </x:row>
    <x:row r="51">
      <x:c r="A51" s="31" t="n">
        <x:v>50</x:v>
      </x:c>
      <x:c r="B51" s="31" t="str">
        <x:v>FR_43</x:v>
      </x:c>
      <x:c r="C51" s="31" t="str">
        <x:v>FR_43</x:v>
      </x:c>
      <x:c r="D51" s="31" t="str">
        <x:v>US_43</x:v>
      </x:c>
      <x:c r="E51" s="31" t="str">
        <x:v>Peer Mentorship</x:v>
      </x:c>
      <x:c r="F51" s="31" t="str">
        <x:v>Aligned</x:v>
      </x:c>
      <x:c r="G51" s="31" t="str">
        <x:v>No material contradiction found against the confirmed business rules and corrected owning diagram.</x:v>
      </x:c>
      <x:c r="H51" s="31" t="str">
        <x:v>Retained without functional change.</x:v>
      </x:c>
      <x:c r="I51" s="31" t="str">
        <x:v>UniConnect_Peer_Mentorship_Class_Diagram_Corrected.drawio</x:v>
      </x:c>
    </x:row>
    <x:row r="52">
      <x:c r="A52" s="31" t="n">
        <x:v>51</x:v>
      </x:c>
      <x:c r="B52" s="31" t="str">
        <x:v>FR_44</x:v>
      </x:c>
      <x:c r="C52" s="31" t="str">
        <x:v>FR_44</x:v>
      </x:c>
      <x:c r="D52" s="31" t="str">
        <x:v>US_44</x:v>
      </x:c>
      <x:c r="E52" s="31" t="str">
        <x:v>Peer Mentorship</x:v>
      </x:c>
      <x:c r="F52" s="31" t="str">
        <x:v>Reworded</x:v>
      </x:c>
      <x:c r="G52" s="31" t="str">
        <x:v>Treated FULL as a stored lifecycle status and omitted series/occurrence distinction.</x:v>
      </x:c>
      <x:c r="H52" s="31" t="str">
        <x:v>Made capacity labels derived and browsing series-aware.</x:v>
      </x:c>
      <x:c r="I52" s="31" t="str">
        <x:v>UniConnect_Peer_Mentorship_Class_Diagram_Corrected.drawio</x:v>
      </x:c>
    </x:row>
    <x:row r="53">
      <x:c r="A53" s="31" t="n">
        <x:v>52</x:v>
      </x:c>
      <x:c r="B53" s="31" t="str">
        <x:v>FR_45</x:v>
      </x:c>
      <x:c r="C53" s="31" t="str">
        <x:v>FR_45</x:v>
      </x:c>
      <x:c r="D53" s="31" t="str">
        <x:v>US_45</x:v>
      </x:c>
      <x:c r="E53" s="31" t="str">
        <x:v>Peer Mentorship</x:v>
      </x:c>
      <x:c r="F53" s="31" t="str">
        <x:v>Reworded</x:v>
      </x:c>
      <x:c r="G53" s="31" t="str">
        <x:v>Did not define series enrollment, self-enrollment prevention, or derived capacity.</x:v>
      </x:c>
      <x:c r="H53" s="31" t="str">
        <x:v>Aligned joining with the confirmed recurring-series model.</x:v>
      </x:c>
      <x:c r="I53" s="31" t="str">
        <x:v>UniConnect_Peer_Mentorship_Class_Diagram_Corrected.drawio</x:v>
      </x:c>
    </x:row>
    <x:row r="54">
      <x:c r="A54" s="31" t="n">
        <x:v>53</x:v>
      </x:c>
      <x:c r="B54" s="31" t="str">
        <x:v>FR_46</x:v>
      </x:c>
      <x:c r="C54" s="31" t="str">
        <x:v>FR_46</x:v>
      </x:c>
      <x:c r="D54" s="31" t="str">
        <x:v>US_46</x:v>
      </x:c>
      <x:c r="E54" s="31" t="str">
        <x:v>Peer Mentorship</x:v>
      </x:c>
      <x:c r="F54" s="31" t="str">
        <x:v>Reworded</x:v>
      </x:c>
      <x:c r="G54" s="31" t="str">
        <x:v>Required physical removal and stored count/status updates.</x:v>
      </x:c>
      <x:c r="H54" s="31" t="str">
        <x:v>Preserved enrollment history and derived capacity/fullness.</x:v>
      </x:c>
      <x:c r="I54" s="31" t="str">
        <x:v>UniConnect_Peer_Mentorship_Class_Diagram_Corrected.drawio</x:v>
      </x:c>
    </x:row>
    <x:row r="55">
      <x:c r="A55" s="31" t="n">
        <x:v>54</x:v>
      </x:c>
      <x:c r="B55" s="31" t="str">
        <x:v>FR_47</x:v>
      </x:c>
      <x:c r="C55" s="31" t="str">
        <x:v>FR_47</x:v>
      </x:c>
      <x:c r="D55" s="31" t="str">
        <x:v>US_47</x:v>
      </x:c>
      <x:c r="E55" s="31" t="str">
        <x:v>Peer Mentorship</x:v>
      </x:c>
      <x:c r="F55" s="31" t="str">
        <x:v>Reworded</x:v>
      </x:c>
      <x:c r="G55" s="31" t="str">
        <x:v>Did not protect historical occurrences when editing a recurring series.</x:v>
      </x:c>
      <x:c r="H55" s="31" t="str">
        <x:v>Limited schedule edits to eligible future occurrences.</x:v>
      </x:c>
      <x:c r="I55" s="31" t="str">
        <x:v>UniConnect_Peer_Mentorship_Class_Diagram_Corrected.drawio</x:v>
      </x:c>
    </x:row>
    <x:row r="56">
      <x:c r="A56" s="31" t="n">
        <x:v>55</x:v>
      </x:c>
      <x:c r="B56" s="31" t="str">
        <x:v>FR_48</x:v>
      </x:c>
      <x:c r="C56" s="31" t="str">
        <x:v>FR_48</x:v>
      </x:c>
      <x:c r="D56" s="31" t="str">
        <x:v>US_48</x:v>
      </x:c>
      <x:c r="E56" s="31" t="str">
        <x:v>Peer Mentorship</x:v>
      </x:c>
      <x:c r="F56" s="31" t="str">
        <x:v>Aligned</x:v>
      </x:c>
      <x:c r="G56" s="31" t="str">
        <x:v>No material contradiction found against the confirmed business rules and corrected owning diagram.</x:v>
      </x:c>
      <x:c r="H56" s="31" t="str">
        <x:v>Retained without functional change.</x:v>
      </x:c>
      <x:c r="I56" s="31" t="str">
        <x:v>UniConnect_Peer_Mentorship_Class_Diagram_Corrected.drawio</x:v>
      </x:c>
    </x:row>
    <x:row r="57">
      <x:c r="A57" s="31" t="n">
        <x:v>56</x:v>
      </x:c>
      <x:c r="B57" s="31" t="str">
        <x:v>FR_49</x:v>
      </x:c>
      <x:c r="C57" s="31" t="str">
        <x:v>FR_49</x:v>
      </x:c>
      <x:c r="D57" s="31" t="str">
        <x:v>US_49</x:v>
      </x:c>
      <x:c r="E57" s="31" t="str">
        <x:v>Peer Mentorship</x:v>
      </x:c>
      <x:c r="F57" s="31" t="str">
        <x:v>Reworded</x:v>
      </x:c>
      <x:c r="G57" s="31" t="str">
        <x:v>Cancellation did not explicitly preserve enrollment and occurrence history.</x:v>
      </x:c>
      <x:c r="H57" s="31" t="str">
        <x:v>Aligned cancellation with historical retention and duplicate-safe notifications.</x:v>
      </x:c>
      <x:c r="I57" s="31" t="str">
        <x:v>UniConnect_Peer_Mentorship_Class_Diagram_Corrected.drawio</x:v>
      </x:c>
    </x:row>
    <x:row r="58">
      <x:c r="A58" s="31" t="n">
        <x:v>57</x:v>
      </x:c>
      <x:c r="B58" s="31" t="str">
        <x:v>FR_50</x:v>
      </x:c>
      <x:c r="C58" s="31" t="str">
        <x:v>FR_50</x:v>
      </x:c>
      <x:c r="D58" s="31" t="str">
        <x:v>US_50</x:v>
      </x:c>
      <x:c r="E58" s="31" t="str">
        <x:v>Peer Mentorship</x:v>
      </x:c>
      <x:c r="F58" s="31" t="str">
        <x:v>Reworded</x:v>
      </x:c>
      <x:c r="G58" s="31" t="str">
        <x:v>Restricted the dashboard to Students even though Alumni may mentor.</x:v>
      </x:c>
      <x:c r="H58" s="31" t="str">
        <x:v>Included both mentor types and series/occurrence history.</x:v>
      </x:c>
      <x:c r="I58" s="31" t="str">
        <x:v>UniConnect_Peer_Mentorship_Class_Diagram_Corrected.drawio</x:v>
      </x:c>
    </x:row>
    <x:row r="59">
      <x:c r="A59" s="31" t="n">
        <x:v>58</x:v>
      </x:c>
      <x:c r="B59" s="31" t="str">
        <x:v>FR_51</x:v>
      </x:c>
      <x:c r="C59" s="31" t="str">
        <x:v>FR_51</x:v>
      </x:c>
      <x:c r="D59" s="31" t="str">
        <x:v>US_51</x:v>
      </x:c>
      <x:c r="E59" s="31" t="str">
        <x:v>One-to-One Chat</x:v>
      </x:c>
      <x:c r="F59" s="31" t="str">
        <x:v>Reworded</x:v>
      </x:c>
      <x:c r="G59" s="31" t="str">
        <x:v>Allowed messaging between arbitrary registered members and omitted first-message conversation creation.</x:v>
      </x:c>
      <x:c r="H59" s="31" t="str">
        <x:v>Restricted sends to accepted connections and defined the atomic first-send lifecycle.</x:v>
      </x:c>
      <x:c r="I59" s="31" t="str">
        <x:v>UniConnect_One_to_One_Chat_Class_Diagram_Corrected.drawio</x:v>
      </x:c>
    </x:row>
    <x:row r="60">
      <x:c r="A60" s="31" t="n">
        <x:v>59</x:v>
      </x:c>
      <x:c r="B60" s="31" t="str">
        <x:v>FR_52</x:v>
      </x:c>
      <x:c r="C60" s="31" t="str">
        <x:v>FR_52</x:v>
      </x:c>
      <x:c r="D60" s="31" t="str">
        <x:v>US_52</x:v>
      </x:c>
      <x:c r="E60" s="31" t="str">
        <x:v>One-to-One Chat</x:v>
      </x:c>
      <x:c r="F60" s="31" t="str">
        <x:v>Reworded</x:v>
      </x:c>
      <x:c r="G60" s="31" t="str">
        <x:v>Stored delivery/read state globally and did not bind it to a conversation participant.</x:v>
      </x:c>
      <x:c r="H60" s="31" t="str">
        <x:v>Aligned delivery, read, and unread state with MessageParticipantState.</x:v>
      </x:c>
      <x:c r="I60" s="31" t="str">
        <x:v>UniConnect_One_to_One_Chat_Class_Diagram_Corrected.drawio</x:v>
      </x:c>
    </x:row>
    <x:row r="61">
      <x:c r="A61" s="31" t="n">
        <x:v>60</x:v>
      </x:c>
      <x:c r="B61" s="31" t="str">
        <x:v>FR_53</x:v>
      </x:c>
      <x:c r="C61" s="31" t="str">
        <x:v>FR_53</x:v>
      </x:c>
      <x:c r="D61" s="31" t="str">
        <x:v>US_53</x:v>
      </x:c>
      <x:c r="E61" s="31" t="str">
        <x:v>One-to-One Chat</x:v>
      </x:c>
      <x:c r="F61" s="31" t="str">
        <x:v>Reworded</x:v>
      </x:c>
      <x:c r="G61" s="31" t="str">
        <x:v>Did not state historical visibility after connection removal.</x:v>
      </x:c>
      <x:c r="H61" s="31" t="str">
        <x:v>Preserved conversations while blocking only new sends.</x:v>
      </x:c>
      <x:c r="I61" s="31" t="str">
        <x:v>UniConnect_One_to_One_Chat_Class_Diagram_Corrected.drawio</x:v>
      </x:c>
    </x:row>
    <x:row r="62">
      <x:c r="A62" s="31" t="n">
        <x:v>61</x:v>
      </x:c>
      <x:c r="B62" s="31" t="str">
        <x:v>FR_54</x:v>
      </x:c>
      <x:c r="C62" s="31" t="str">
        <x:v>FR_54</x:v>
      </x:c>
      <x:c r="D62" s="31" t="str">
        <x:v>US_54</x:v>
      </x:c>
      <x:c r="E62" s="31" t="str">
        <x:v>One-to-One Chat</x:v>
      </x:c>
      <x:c r="F62" s="31" t="str">
        <x:v>Reworded</x:v>
      </x:c>
      <x:c r="G62" s="31" t="str">
        <x:v>Mixed viewing history with sending eligibility and omitted participant-specific deletion visibility.</x:v>
      </x:c>
      <x:c r="H62" s="31" t="str">
        <x:v>Separated historical viewing from current send authorization.</x:v>
      </x:c>
      <x:c r="I62" s="31" t="str">
        <x:v>UniConnect_One_to_One_Chat_Class_Diagram_Corrected.drawio</x:v>
      </x:c>
    </x:row>
    <x:row r="63">
      <x:c r="A63" s="31" t="n">
        <x:v>62</x:v>
      </x:c>
      <x:c r="B63" s="31" t="str">
        <x:v>FR_55</x:v>
      </x:c>
      <x:c r="C63" s="31" t="str">
        <x:v>FR_55</x:v>
      </x:c>
      <x:c r="D63" s="31" t="str">
        <x:v>US_55</x:v>
      </x:c>
      <x:c r="E63" s="31" t="str">
        <x:v>One-to-One Chat</x:v>
      </x:c>
      <x:c r="F63" s="31" t="str">
        <x:v>Reworded</x:v>
      </x:c>
      <x:c r="G63" s="31" t="str">
        <x:v>Allowed an undefined 'other approved relationship' and implied old chats could not be opened.</x:v>
      </x:c>
      <x:c r="H63" s="31" t="str">
        <x:v>Made ACCEPTED Connection the sole send prerequisite while preserving history.</x:v>
      </x:c>
      <x:c r="I63" s="31" t="str">
        <x:v>UniConnect_One_to_One_Chat_Class_Diagram_Corrected.drawio</x:v>
      </x:c>
    </x:row>
    <x:row r="64">
      <x:c r="A64" s="31" t="n">
        <x:v>63</x:v>
      </x:c>
      <x:c r="B64" s="31" t="str">
        <x:v>FR_56</x:v>
      </x:c>
      <x:c r="C64" s="31" t="str">
        <x:v>FR_56</x:v>
      </x:c>
      <x:c r="D64" s="31" t="str">
        <x:v>US_56</x:v>
      </x:c>
      <x:c r="E64" s="31" t="str">
        <x:v>Career Board</x:v>
      </x:c>
      <x:c r="F64" s="31" t="str">
        <x:v>Reworded</x:v>
      </x:c>
      <x:c r="G64" s="31" t="str">
        <x:v>Used a separate verified-Alumni concept and omitted required lifecycle fields.</x:v>
      </x:c>
      <x:c r="H64" s="31" t="str">
        <x:v>Aligned publishing eligibility and required details with the Career Board model.</x:v>
      </x:c>
      <x:c r="I64" s="31" t="str">
        <x:v>UniConnect_Career_Board_Class_Diagram_Corrected.drawio</x:v>
      </x:c>
    </x:row>
    <x:row r="65">
      <x:c r="A65" s="31" t="n">
        <x:v>64</x:v>
      </x:c>
      <x:c r="B65" s="31" t="str">
        <x:v>FR_57</x:v>
      </x:c>
      <x:c r="C65" s="31" t="str">
        <x:v>FR_57</x:v>
      </x:c>
      <x:c r="D65" s="31" t="str">
        <x:v>US_57</x:v>
      </x:c>
      <x:c r="E65" s="31" t="str">
        <x:v>Career Board</x:v>
      </x:c>
      <x:c r="F65" s="31" t="str">
        <x:v>Reworded</x:v>
      </x:c>
      <x:c r="G65" s="31" t="str">
        <x:v>Left expiry behavior optional and conflated expiry with removal.</x:v>
      </x:c>
      <x:c r="H65" s="31" t="str">
        <x:v>Applied the confirmed derived-expiry policy.</x:v>
      </x:c>
      <x:c r="I65" s="31" t="str">
        <x:v>UniConnect_Career_Board_Class_Diagram_Corrected.drawio</x:v>
      </x:c>
    </x:row>
    <x:row r="66">
      <x:c r="A66" s="31" t="n">
        <x:v>65</x:v>
      </x:c>
      <x:c r="B66" s="31" t="str">
        <x:v>FR_58</x:v>
      </x:c>
      <x:c r="C66" s="31" t="str">
        <x:v>FR_58</x:v>
      </x:c>
      <x:c r="D66" s="31" t="str">
        <x:v>US_58</x:v>
      </x:c>
      <x:c r="E66" s="31" t="str">
        <x:v>Career Board</x:v>
      </x:c>
      <x:c r="F66" s="31" t="str">
        <x:v>Aligned</x:v>
      </x:c>
      <x:c r="G66" s="31" t="str">
        <x:v>No material contradiction found against the confirmed business rules and corrected owning diagram.</x:v>
      </x:c>
      <x:c r="H66" s="31" t="str">
        <x:v>Retained without functional change.</x:v>
      </x:c>
      <x:c r="I66" s="31" t="str">
        <x:v>UniConnect_Career_Board_Class_Diagram_Corrected.drawio</x:v>
      </x:c>
    </x:row>
    <x:row r="67">
      <x:c r="A67" s="31" t="n">
        <x:v>66</x:v>
      </x:c>
      <x:c r="B67" s="31" t="str">
        <x:v>FR_59</x:v>
      </x:c>
      <x:c r="C67" s="31" t="str">
        <x:v>FR_59</x:v>
      </x:c>
      <x:c r="D67" s="31" t="str">
        <x:v>US_59</x:v>
      </x:c>
      <x:c r="E67" s="31" t="str">
        <x:v>Career Board</x:v>
      </x:c>
      <x:c r="F67" s="31" t="str">
        <x:v>Reworded</x:v>
      </x:c>
      <x:c r="G67" s="31" t="str">
        <x:v>Said the saved item remained until the post was deleted, contradicting retained bookmarks and moderated removal.</x:v>
      </x:c>
      <x:c r="H67" s="31" t="str">
        <x:v>Preserved bookmarks across closure/expiry and protected removed content.</x:v>
      </x:c>
      <x:c r="I67" s="31" t="str">
        <x:v>UniConnect_Career_Board_Class_Diagram_Corrected.drawio</x:v>
      </x:c>
    </x:row>
    <x:row r="68">
      <x:c r="A68" s="31" t="n">
        <x:v>67</x:v>
      </x:c>
      <x:c r="B68" s="31" t="str">
        <x:v>FR_60</x:v>
      </x:c>
      <x:c r="C68" s="31" t="str">
        <x:v>FR_60</x:v>
      </x:c>
      <x:c r="D68" s="31" t="str">
        <x:v>US_60</x:v>
      </x:c>
      <x:c r="E68" s="31" t="str">
        <x:v>Career Board</x:v>
      </x:c>
      <x:c r="F68" s="31" t="str">
        <x:v>Aligned</x:v>
      </x:c>
      <x:c r="G68" s="31" t="str">
        <x:v>No material contradiction found against the confirmed business rules and corrected owning diagram.</x:v>
      </x:c>
      <x:c r="H68" s="31" t="str">
        <x:v>Retained without functional change.</x:v>
      </x:c>
      <x:c r="I68" s="31" t="str">
        <x:v>UniConnect_Career_Board_Class_Diagram_Corrected.drawio</x:v>
      </x:c>
    </x:row>
    <x:row r="69">
      <x:c r="A69" s="31" t="n">
        <x:v>68</x:v>
      </x:c>
      <x:c r="B69" s="31" t="str">
        <x:v>FR_61</x:v>
      </x:c>
      <x:c r="C69" s="31" t="str">
        <x:v>FR_61</x:v>
      </x:c>
      <x:c r="D69" s="31" t="str">
        <x:v>US_61</x:v>
      </x:c>
      <x:c r="E69" s="31" t="str">
        <x:v>Career Board</x:v>
      </x:c>
      <x:c r="F69" s="31" t="str">
        <x:v>Reworded</x:v>
      </x:c>
      <x:c r="G69" s="31" t="str">
        <x:v>Did not restrict the external application action by current post availability.</x:v>
      </x:c>
      <x:c r="H69" s="31" t="str">
        <x:v>Applied the Career Board active-post rule and confirmed external-only applications.</x:v>
      </x:c>
      <x:c r="I69" s="31" t="str">
        <x:v>UniConnect_Career_Board_Class_Diagram_Corrected.drawio</x:v>
      </x:c>
    </x:row>
    <x:row r="70">
      <x:c r="A70" s="31" t="n">
        <x:v>69</x:v>
      </x:c>
      <x:c r="B70" s="31" t="str">
        <x:v>FR_62</x:v>
      </x:c>
      <x:c r="C70" s="31" t="str">
        <x:v>FR_62</x:v>
      </x:c>
      <x:c r="D70" s="31" t="str">
        <x:v>US_62</x:v>
      </x:c>
      <x:c r="E70" s="31" t="str">
        <x:v>Cross-Module Search</x:v>
      </x:c>
      <x:c r="F70" s="31" t="str">
        <x:v>Resolved</x:v>
      </x:c>
      <x:c r="G70" s="31" t="str">
        <x:v>Event lifecycle requirements and the Event class were previously absent.</x:v>
      </x:c>
      <x:c r="H70" s="31" t="str">
        <x:v>Added FR_88–FR_90 for Event publication, derived timing labels, current browsing, and preserved history.</x:v>
      </x:c>
      <x:c r="I70" s="31" t="str">
        <x:v>UniConnect_Overall_Class_Diagram_Corrected.drawio</x:v>
      </x:c>
    </x:row>
    <x:row r="71">
      <x:c r="A71" s="31" t="n">
        <x:v>70</x:v>
      </x:c>
      <x:c r="B71" s="31" t="str">
        <x:v>FR_63</x:v>
      </x:c>
      <x:c r="C71" s="31" t="str">
        <x:v>FR_63</x:v>
      </x:c>
      <x:c r="D71" s="31" t="str">
        <x:v>US_63</x:v>
      </x:c>
      <x:c r="E71" s="31" t="str">
        <x:v>Administration &amp; Moderation</x:v>
      </x:c>
      <x:c r="F71" s="31" t="str">
        <x:v>Aligned</x:v>
      </x:c>
      <x:c r="G71" s="31" t="str">
        <x:v>No material contradiction found against the confirmed business rules and corrected owning diagram.</x:v>
      </x:c>
      <x:c r="H71" s="31" t="str">
        <x:v>Retained without functional change.</x:v>
      </x:c>
      <x:c r="I71" s="31" t="str">
        <x:v>UniConnect_Administration_Notification_Class_Diagram_Corrected.drawio</x:v>
      </x:c>
    </x:row>
    <x:row r="72">
      <x:c r="A72" s="31" t="n">
        <x:v>71</x:v>
      </x:c>
      <x:c r="B72" s="31" t="str">
        <x:v>FR_64</x:v>
      </x:c>
      <x:c r="C72" s="31" t="str">
        <x:v>FR_64</x:v>
      </x:c>
      <x:c r="D72" s="31" t="str">
        <x:v>US_64</x:v>
      </x:c>
      <x:c r="E72" s="31" t="str">
        <x:v>Administration &amp; Moderation</x:v>
      </x:c>
      <x:c r="F72" s="31" t="str">
        <x:v>Reworded</x:v>
      </x:c>
      <x:c r="G72" s="31" t="str">
        <x:v>Blocked only future login and did not invalidate existing sessions.</x:v>
      </x:c>
      <x:c r="H72" s="31" t="str">
        <x:v>Made suspension immediately revoke all current sessions and protected access.</x:v>
      </x:c>
      <x:c r="I72" s="31" t="str">
        <x:v>UniConnect_Administration_Notification_Class_Diagram_Corrected.drawio</x:v>
      </x:c>
    </x:row>
    <x:row r="73">
      <x:c r="A73" s="31" t="n">
        <x:v>72</x:v>
      </x:c>
      <x:c r="B73" s="31" t="str">
        <x:v>FR_65</x:v>
      </x:c>
      <x:c r="C73" s="31" t="str">
        <x:v>FR_65</x:v>
      </x:c>
      <x:c r="D73" s="31" t="str">
        <x:v>US_65</x:v>
      </x:c>
      <x:c r="E73" s="31" t="str">
        <x:v>Administration &amp; Moderation</x:v>
      </x:c>
      <x:c r="F73" s="31" t="str">
        <x:v>Reworded</x:v>
      </x:c>
      <x:c r="G73" s="31" t="str">
        <x:v>Did not state whether suspended sessions revive after reactivation.</x:v>
      </x:c>
      <x:c r="H73" s="31" t="str">
        <x:v>Confirmed that reactivation never restores revoked sessions.</x:v>
      </x:c>
      <x:c r="I73" s="31" t="str">
        <x:v>UniConnect_Administration_Notification_Class_Diagram_Corrected.drawio</x:v>
      </x:c>
    </x:row>
    <x:row r="74">
      <x:c r="A74" s="31" t="n">
        <x:v>73</x:v>
      </x:c>
      <x:c r="B74" s="31" t="str">
        <x:v>FR_66</x:v>
      </x:c>
      <x:c r="C74" s="31" t="str">
        <x:v>FR_66</x:v>
      </x:c>
      <x:c r="D74" s="31" t="str">
        <x:v>US_66</x:v>
      </x:c>
      <x:c r="E74" s="31" t="str">
        <x:v>Administration &amp; Moderation</x:v>
      </x:c>
      <x:c r="F74" s="31" t="str">
        <x:v>Reworded</x:v>
      </x:c>
      <x:c r="G74" s="31" t="str">
        <x:v>Physical user deletion conflicted with retained messages, memberships, publications, moderation records, and audit history.</x:v>
      </x:c>
      <x:c r="H74" s="31" t="str">
        <x:v>Replaced physical deletion with terminal account anonymization and immediate session revocation.</x:v>
      </x:c>
      <x:c r="I74" s="31" t="str">
        <x:v>UniConnect_Shared_Domain_Model_Corrected.drawio</x:v>
      </x:c>
    </x:row>
    <x:row r="75">
      <x:c r="A75" s="31" t="n">
        <x:v>74</x:v>
      </x:c>
      <x:c r="B75" s="31" t="str">
        <x:v>FR_67</x:v>
      </x:c>
      <x:c r="C75" s="31" t="str">
        <x:v>FR_67</x:v>
      </x:c>
      <x:c r="D75" s="31" t="str">
        <x:v>US_67</x:v>
      </x:c>
      <x:c r="E75" s="31" t="str">
        <x:v>Administration &amp; Moderation</x:v>
      </x:c>
      <x:c r="F75" s="31" t="str">
        <x:v>Resolved</x:v>
      </x:c>
      <x:c r="G75" s="31" t="str">
        <x:v>Content reporting previously lacked approved target, access, lifecycle, concurrency, evidence, privacy, and notification rules.</x:v>
      </x:c>
      <x:c r="H75" s="31" t="str">
        <x:v>Approved the bounded USER, CLUB, ANNOUNCEMENT, EVENT, and CHAT_MESSAGE reporting lifecycle with owner-only reporter reads and SYSTEM_ADMINISTRATION review.</x:v>
      </x:c>
      <x:c r="I75" s="31" t="str">
        <x:v>Administration_Notification.drawio; One_to_One_Chat.drawio; CONTENT_REPORTING.md</x:v>
      </x:c>
    </x:row>
    <x:row r="76">
      <x:c r="A76" s="31" t="n">
        <x:v>75</x:v>
      </x:c>
      <x:c r="B76" s="31" t="str">
        <x:v>FR_68</x:v>
      </x:c>
      <x:c r="C76" s="31" t="str">
        <x:v>FR_68</x:v>
      </x:c>
      <x:c r="D76" s="31" t="str">
        <x:v>US_68</x:v>
      </x:c>
      <x:c r="E76" s="31" t="str">
        <x:v>Administration &amp; Moderation</x:v>
      </x:c>
      <x:c r="F76" s="31" t="str">
        <x:v>Reworded</x:v>
      </x:c>
      <x:c r="G76" s="31" t="str">
        <x:v>The prior wording granted generic SYSTEM_ADMIN content-removal authority and referenced unavailable Project and JobPost modules.</x:v>
      </x:c>
      <x:c r="H76" s="31" t="str">
        <x:v>Separated report resolution from action execution, retained existing action permissions, and required a verified link to qualifying committed evidence.</x:v>
      </x:c>
      <x:c r="I76" s="31" t="str">
        <x:v>Administration_Notification.drawio; CONTENT_REPORTING.md</x:v>
      </x:c>
    </x:row>
    <x:row r="77">
      <x:c r="A77" s="31" t="n">
        <x:v>76</x:v>
      </x:c>
      <x:c r="B77" s="31" t="str">
        <x:v>FR_69</x:v>
      </x:c>
      <x:c r="C77" s="31" t="str">
        <x:v>FR_69</x:v>
      </x:c>
      <x:c r="D77" s="31" t="str">
        <x:v>US_69</x:v>
      </x:c>
      <x:c r="E77" s="31" t="str">
        <x:v>Administration &amp; Moderation</x:v>
      </x:c>
      <x:c r="F77" s="31" t="str">
        <x:v>Deferred</x:v>
      </x:c>
      <x:c r="G77" s="31" t="str">
        <x:v>The warning requirement needs issueWarning(), warning action, notification, and audit types.</x:v>
      </x:c>
      <x:c r="H77" s="31" t="str">
        <x:v>Retained for long-term traceability but deferred from the one-month rebuild until warning policy and model are approved.</x:v>
      </x:c>
      <x:c r="I77" s="31" t="str">
        <x:v>UniConnect_Administration_Notification_Class_Diagram_Corrected.drawio</x:v>
      </x:c>
    </x:row>
    <x:row r="78">
      <x:c r="A78" s="31" t="n">
        <x:v>77</x:v>
      </x:c>
      <x:c r="B78" s="31" t="str">
        <x:v>FR_70</x:v>
      </x:c>
      <x:c r="C78" s="31" t="str">
        <x:v>FR_70</x:v>
      </x:c>
      <x:c r="D78" s="31" t="str">
        <x:v>US_70</x:v>
      </x:c>
      <x:c r="E78" s="31" t="str">
        <x:v>Administration &amp; Moderation</x:v>
      </x:c>
      <x:c r="F78" s="31" t="str">
        <x:v>Reworded</x:v>
      </x:c>
      <x:c r="G78" s="31" t="str">
        <x:v>Called a Club an account and treated suspension as full invisibility.</x:v>
      </x:c>
      <x:c r="H78" s="31" t="str">
        <x:v>Used canonical ClubStatus, limited suspension to new publishing, and clarified that a reactivated original administrator may satisfy eligibility while explicit FR_83 restoration remains required.</x:v>
      </x:c>
      <x:c r="I78" s="31" t="str">
        <x:v>UniConnect_Administration_Notification_Class_Diagram_Corrected.drawio</x:v>
      </x:c>
    </x:row>
    <x:row r="79">
      <x:c r="A79" s="31" t="n">
        <x:v>78</x:v>
      </x:c>
      <x:c r="B79" s="31" t="str">
        <x:v>FR_71</x:v>
      </x:c>
      <x:c r="C79" s="31" t="str">
        <x:v>FR_71</x:v>
      </x:c>
      <x:c r="D79" s="31" t="str">
        <x:v>US_71</x:v>
      </x:c>
      <x:c r="E79" s="31" t="str">
        <x:v>Administration &amp; Moderation</x:v>
      </x:c>
      <x:c r="F79" s="31" t="str">
        <x:v>Reworded</x:v>
      </x:c>
      <x:c r="G79" s="31" t="str">
        <x:v>Used account/deletion terminology that implied physical removal and lost history.</x:v>
      </x:c>
      <x:c r="H79" s="31" t="str">
        <x:v>Modeled Club removal as a retained lifecycle state.</x:v>
      </x:c>
      <x:c r="I79" s="31" t="str">
        <x:v>UniConnect_Administration_Notification_Class_Diagram_Corrected.drawio</x:v>
      </x:c>
    </x:row>
    <x:row r="80">
      <x:c r="A80" s="31" t="n">
        <x:v>79</x:v>
      </x:c>
      <x:c r="B80" s="31" t="str">
        <x:v>FR_72</x:v>
      </x:c>
      <x:c r="C80" s="31" t="str">
        <x:v>FR_72</x:v>
      </x:c>
      <x:c r="D80" s="31" t="str">
        <x:v>US_72.1</x:v>
      </x:c>
      <x:c r="E80" s="31" t="str">
        <x:v>Notifications</x:v>
      </x:c>
      <x:c r="F80" s="31" t="str">
        <x:v>Reworded</x:v>
      </x:c>
      <x:c r="G80" s="31" t="str">
        <x:v>Duplicate prevention and non-authoritative notification behavior were informal.</x:v>
      </x:c>
      <x:c r="H80" s="31" t="str">
        <x:v>Aligned notifications with recipient/eventKey uniqueness and authorization rules.</x:v>
      </x:c>
      <x:c r="I80" s="31" t="str">
        <x:v>UniConnect_Administration_Notification_Class_Diagram_Corrected.drawio</x:v>
      </x:c>
    </x:row>
    <x:row r="81">
      <x:c r="A81" s="31" t="n">
        <x:v>80</x:v>
      </x:c>
      <x:c r="B81" s="31" t="str">
        <x:v>FR_72</x:v>
      </x:c>
      <x:c r="C81" s="31" t="str">
        <x:v>FR_72</x:v>
      </x:c>
      <x:c r="D81" s="31" t="str">
        <x:v>US_72.2</x:v>
      </x:c>
      <x:c r="E81" s="31" t="str">
        <x:v>Notifications</x:v>
      </x:c>
      <x:c r="F81" s="31" t="str">
        <x:v>Reworded</x:v>
      </x:c>
      <x:c r="G81" s="31" t="str">
        <x:v>Used old role names and could imply the notification controlled authority.</x:v>
      </x:c>
      <x:c r="H81" s="31" t="str">
        <x:v>Used canonical ClubRole values and made notifications informational only.</x:v>
      </x:c>
      <x:c r="I81" s="31" t="str">
        <x:v>UniConnect_Administration_Notification_Class_Diagram_Corrected.drawio</x:v>
      </x:c>
    </x:row>
    <x:row r="82">
      <x:c r="A82" s="31" t="n">
        <x:v>81</x:v>
      </x:c>
      <x:c r="B82" s="31" t="str">
        <x:v>FR_72</x:v>
      </x:c>
      <x:c r="C82" s="31" t="str">
        <x:v>FR_78</x:v>
      </x:c>
      <x:c r="D82" s="31" t="str">
        <x:v>US_78</x:v>
      </x:c>
      <x:c r="E82" s="31" t="str">
        <x:v>Notifications</x:v>
      </x:c>
      <x:c r="F82" s="31" t="str">
        <x:v>Split</x:v>
      </x:c>
      <x:c r="G82" s="31" t="str">
        <x:v>Opening a target is a distinct user action from generating a notification.</x:v>
      </x:c>
      <x:c r="H82" s="31" t="str">
        <x:v>Separated notification navigation into atomic FR_78.</x:v>
      </x:c>
      <x:c r="I82" s="31" t="str">
        <x:v>UniConnect_Administration_Notification_Class_Diagram_Corrected.drawio</x:v>
      </x:c>
    </x:row>
    <x:row r="83">
      <x:c r="A83" s="31" t="n">
        <x:v>82</x:v>
      </x:c>
      <x:c r="B83" s="31" t="str">
        <x:v>—</x:v>
      </x:c>
      <x:c r="C83" s="31" t="str">
        <x:v>FR_79</x:v>
      </x:c>
      <x:c r="D83" s="31" t="str">
        <x:v>US_79</x:v>
      </x:c>
      <x:c r="E83" s="31" t="str">
        <x:v>One-to-One Chat</x:v>
      </x:c>
      <x:c r="F83" s="31" t="str">
        <x:v>New</x:v>
      </x:c>
      <x:c r="G83" s="31" t="str">
        <x:v>Confirmed message-deletion behavior had no functional requirement.</x:v>
      </x:c>
      <x:c r="H83" s="31" t="str">
        <x:v>Added FR_79 as an atomic, testable requirement aligned with the corrected module diagram.</x:v>
      </x:c>
      <x:c r="I83" s="31" t="str">
        <x:v>UniConnect_One_to_One_Chat_Class_Diagram_Corrected.drawio</x:v>
      </x:c>
    </x:row>
    <x:row r="84">
      <x:c r="A84" s="31" t="n">
        <x:v>83</x:v>
      </x:c>
      <x:c r="B84" s="31" t="str">
        <x:v>—</x:v>
      </x:c>
      <x:c r="C84" s="31" t="str">
        <x:v>FR_80</x:v>
      </x:c>
      <x:c r="D84" s="31" t="str">
        <x:v>US_80</x:v>
      </x:c>
      <x:c r="E84" s="31" t="str">
        <x:v>One-to-One Chat</x:v>
      </x:c>
      <x:c r="F84" s="31" t="str">
        <x:v>New</x:v>
      </x:c>
      <x:c r="G84" s="31" t="str">
        <x:v>Confirmed message-deletion behavior had no functional requirement.</x:v>
      </x:c>
      <x:c r="H84" s="31" t="str">
        <x:v>Added FR_80 as an atomic, testable requirement aligned with the corrected module diagram.</x:v>
      </x:c>
      <x:c r="I84" s="31" t="str">
        <x:v>UniConnect_One_to_One_Chat_Class_Diagram_Corrected.drawio</x:v>
      </x:c>
    </x:row>
    <x:row r="85">
      <x:c r="A85" s="31" t="n">
        <x:v>84</x:v>
      </x:c>
      <x:c r="B85" s="31" t="str">
        <x:v>—</x:v>
      </x:c>
      <x:c r="C85" s="31" t="str">
        <x:v>FR_81</x:v>
      </x:c>
      <x:c r="D85" s="31" t="str">
        <x:v>US_81</x:v>
      </x:c>
      <x:c r="E85" s="31" t="str">
        <x:v>Career Board</x:v>
      </x:c>
      <x:c r="F85" s="31" t="str">
        <x:v>New</x:v>
      </x:c>
      <x:c r="G85" s="31" t="str">
        <x:v>Confirmed JobPost author lifecycle behavior had no functional requirement.</x:v>
      </x:c>
      <x:c r="H85" s="31" t="str">
        <x:v>Added FR_81 as an atomic, testable requirement aligned with the corrected module diagram.</x:v>
      </x:c>
      <x:c r="I85" s="31" t="str">
        <x:v>UniConnect_Career_Board_Class_Diagram_Corrected.drawio</x:v>
      </x:c>
    </x:row>
    <x:row r="86">
      <x:c r="A86" s="31" t="n">
        <x:v>85</x:v>
      </x:c>
      <x:c r="B86" s="31" t="str">
        <x:v>—</x:v>
      </x:c>
      <x:c r="C86" s="31" t="str">
        <x:v>FR_82</x:v>
      </x:c>
      <x:c r="D86" s="31" t="str">
        <x:v>US_82</x:v>
      </x:c>
      <x:c r="E86" s="31" t="str">
        <x:v>Career Board</x:v>
      </x:c>
      <x:c r="F86" s="31" t="str">
        <x:v>New</x:v>
      </x:c>
      <x:c r="G86" s="31" t="str">
        <x:v>Confirmed JobPost author lifecycle behavior had no functional requirement.</x:v>
      </x:c>
      <x:c r="H86" s="31" t="str">
        <x:v>Added FR_82 as an atomic, testable requirement aligned with the corrected module diagram.</x:v>
      </x:c>
      <x:c r="I86" s="31" t="str">
        <x:v>UniConnect_Career_Board_Class_Diagram_Corrected.drawio</x:v>
      </x:c>
    </x:row>
    <x:row r="87" ht="24" hidden="0" customHeight="1">
      <x:c r="A87" s="30" t="n">
        <x:v>86</x:v>
      </x:c>
      <x:c r="B87" s="30" t="str">
        <x:v>—</x:v>
      </x:c>
      <x:c r="C87" s="30" t="str">
        <x:v>FR_83</x:v>
      </x:c>
      <x:c r="D87" s="30" t="str">
        <x:v>US_83</x:v>
      </x:c>
      <x:c r="E87" s="30" t="str">
        <x:v>Administration &amp; Moderation</x:v>
      </x:c>
      <x:c r="F87" s="30" t="str">
        <x:v>New</x:v>
      </x:c>
      <x:c r="G87" s="30" t="str">
        <x:v>Restoring Club publishing existed in the administration model but had no atomic functional requirement.</x:v>
      </x:c>
      <x:c r="H87" s="30" t="str">
        <x:v>Added an authorized, audited explicit restoration requirement; an eligible current administrator may be the reactivated original administrator, but reactivation alone never restores publishing.</x:v>
      </x:c>
      <x:c r="I87" s="30" t="str">
        <x:v>UniConnect_Administration_Notification_Class_Diagram_Corrected.drawio</x:v>
      </x:c>
    </x:row>
    <x:row r="88" ht="24" hidden="0" customHeight="1">
      <x:c r="A88" s="30" t="n">
        <x:v>87</x:v>
      </x:c>
      <x:c r="B88" s="30" t="str">
        <x:v>—</x:v>
      </x:c>
      <x:c r="C88" s="30" t="str">
        <x:v>FR_84</x:v>
      </x:c>
      <x:c r="D88" s="30" t="str">
        <x:v>US_84</x:v>
      </x:c>
      <x:c r="E88" s="30" t="str">
        <x:v>Club Announcements</x:v>
      </x:c>
      <x:c r="F88" s="30" t="str">
        <x:v>New</x:v>
      </x:c>
      <x:c r="G88" s="30" t="str">
        <x:v>AnnouncementStatus included UNPUBLISHED but the draft-creation behavior was not specified.</x:v>
      </x:c>
      <x:c r="H88" s="30" t="str">
        <x:v>Added private draft creation with current Club-role authorization.</x:v>
      </x:c>
      <x:c r="I88" s="30" t="str">
        <x:v>UniConnect_Club_Announcement_Class_Diagram_Corrected.drawio</x:v>
      </x:c>
    </x:row>
    <x:row r="89" ht="24" hidden="0" customHeight="1">
      <x:c r="A89" s="30" t="n">
        <x:v>88</x:v>
      </x:c>
      <x:c r="B89" s="30" t="str">
        <x:v>—</x:v>
      </x:c>
      <x:c r="C89" s="30" t="str">
        <x:v>FR_85</x:v>
      </x:c>
      <x:c r="D89" s="30" t="str">
        <x:v>US_85</x:v>
      </x:c>
      <x:c r="E89" s="30" t="str">
        <x:v>Club Announcements</x:v>
      </x:c>
      <x:c r="F89" s="30" t="str">
        <x:v>New</x:v>
      </x:c>
      <x:c r="G89" s="30" t="str">
        <x:v>Publishing an existing draft was not specified as a separate state transition.</x:v>
      </x:c>
      <x:c r="H89" s="30" t="str">
        <x:v>Added an atomic UNPUBLISHED-to-PUBLISHED transition and publication timestamp.</x:v>
      </x:c>
      <x:c r="I89" s="30" t="str">
        <x:v>UniConnect_Club_Announcement_Class_Diagram_Corrected.drawio</x:v>
      </x:c>
    </x:row>
    <x:row r="90" ht="24" hidden="0" customHeight="1">
      <x:c r="A90" s="30" t="n">
        <x:v>89</x:v>
      </x:c>
      <x:c r="B90" s="30" t="str">
        <x:v>—</x:v>
      </x:c>
      <x:c r="C90" s="30" t="str">
        <x:v>FR_86</x:v>
      </x:c>
      <x:c r="D90" s="30" t="str">
        <x:v>US_86</x:v>
      </x:c>
      <x:c r="E90" s="30" t="str">
        <x:v>Club Announcements</x:v>
      </x:c>
      <x:c r="F90" s="30" t="str">
        <x:v>New</x:v>
      </x:c>
      <x:c r="G90" s="30" t="str">
        <x:v>The diagram allowed unpublishing but no functional requirement defined visibility or history behavior.</x:v>
      </x:c>
      <x:c r="H90" s="30" t="str">
        <x:v>Added an authorized PUBLISHED-to-UNPUBLISHED transition with retained history.</x:v>
      </x:c>
      <x:c r="I90" s="30" t="str">
        <x:v>UniConnect_Club_Announcement_Class_Diagram_Corrected.drawio</x:v>
      </x:c>
    </x:row>
    <x:row r="91" ht="24" hidden="0" customHeight="1">
      <x:c r="A91" s="30" t="n">
        <x:v>90</x:v>
      </x:c>
      <x:c r="B91" s="30" t="str">
        <x:v>—</x:v>
      </x:c>
      <x:c r="C91" s="30" t="str">
        <x:v>FR_87</x:v>
      </x:c>
      <x:c r="D91" s="30" t="str">
        <x:v>US_87</x:v>
      </x:c>
      <x:c r="E91" s="30" t="str">
        <x:v>Club Announcements</x:v>
      </x:c>
      <x:c r="F91" s="30" t="str">
        <x:v>New</x:v>
      </x:c>
      <x:c r="G91" s="30" t="str">
        <x:v>expiresAt and EXPIRED existed without a requirement defining time-derived expiry.</x:v>
      </x:c>
      <x:c r="H91" s="30" t="str">
        <x:v>Added optional expiry, current-feed exclusion, and history preservation.</x:v>
      </x:c>
      <x:c r="I91" s="30" t="str">
        <x:v>UniConnect_Club_Announcement_Class_Diagram_Corrected.drawio</x:v>
      </x:c>
    </x:row>
    <x:row r="92" ht="24" hidden="0" customHeight="1">
      <x:c r="A92" s="30" t="n">
        <x:v>91</x:v>
      </x:c>
      <x:c r="B92" s="30" t="str">
        <x:v>—</x:v>
      </x:c>
      <x:c r="C92" s="30" t="str">
        <x:v>FR_88</x:v>
      </x:c>
      <x:c r="D92" s="30" t="str">
        <x:v>US_88</x:v>
      </x:c>
      <x:c r="E92" s="30" t="str">
        <x:v>Club Events</x:v>
      </x:c>
      <x:c r="F92" s="30" t="str">
        <x:v>New</x:v>
      </x:c>
      <x:c r="G92" s="30" t="str">
        <x:v>Events were named in product scope but lacked a publication requirement.</x:v>
      </x:c>
      <x:c r="H92" s="30" t="str">
        <x:v>Added direct Event publication by authorized Club operators.</x:v>
      </x:c>
      <x:c r="I92" s="30" t="str">
        <x:v>UniConnect_Club_Announcement_Class_Diagram_Corrected.drawio</x:v>
      </x:c>
    </x:row>
    <x:row r="93" ht="24" hidden="0" customHeight="1">
      <x:c r="A93" s="30" t="n">
        <x:v>92</x:v>
      </x:c>
      <x:c r="B93" s="30" t="str">
        <x:v>—</x:v>
      </x:c>
      <x:c r="C93" s="30" t="str">
        <x:v>FR_89</x:v>
      </x:c>
      <x:c r="D93" s="30" t="str">
        <x:v>US_89</x:v>
      </x:c>
      <x:c r="E93" s="30" t="str">
        <x:v>Club Events</x:v>
      </x:c>
      <x:c r="F93" s="30" t="str">
        <x:v>New</x:v>
      </x:c>
      <x:c r="G93" s="30" t="str">
        <x:v>UPCOMING and ACTIVE Event behavior was not defined.</x:v>
      </x:c>
      <x:c r="H93" s="30" t="str">
        <x:v>Added time-derived labels and current-event browsing.</x:v>
      </x:c>
      <x:c r="I93" s="30" t="str">
        <x:v>UniConnect_Club_Announcement_Class_Diagram_Corrected.drawio</x:v>
      </x:c>
    </x:row>
    <x:row r="94" ht="24" hidden="0" customHeight="1">
      <x:c r="A94" s="30" t="n">
        <x:v>93</x:v>
      </x:c>
      <x:c r="B94" s="30" t="str">
        <x:v>—</x:v>
      </x:c>
      <x:c r="C94" s="30" t="str">
        <x:v>FR_90</x:v>
      </x:c>
      <x:c r="D94" s="30" t="str">
        <x:v>US_90</x:v>
      </x:c>
      <x:c r="E94" s="30" t="str">
        <x:v>Club Events</x:v>
      </x:c>
      <x:c r="F94" s="30" t="str">
        <x:v>New</x:v>
      </x:c>
      <x:c r="G94" s="30" t="str">
        <x:v>Past-event retention was not defined.</x:v>
      </x:c>
      <x:c r="H94" s="30" t="str">
        <x:v>Added PAST derivation and a preserved event-history view.</x:v>
      </x:c>
      <x:c r="I94" s="30" t="str">
        <x:v>UniConnect_Club_Announcement_Class_Diagram_Corrected.drawio</x:v>
      </x:c>
    </x:row>
  </x:sheetData>
  <x:conditionalFormatting sqref="F2:F86">
    <x:cfRule type="containsText" dxfId="5" priority="1" operator="containsText" text="Open Gap"/>
    <x:cfRule type="containsText" dxfId="6" priority="2" operator="containsText" text="New"/>
    <x:cfRule type="containsText" dxfId="7" priority="3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570049ebf7114f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90" hidden="0" customWidth="1"/>
  </x:cols>
  <x:sheetData>
    <x:row r="1">
      <x:c r="A1" s="32" t="str">
        <x:v>Rule ID</x:v>
      </x:c>
      <x:c r="B1" s="32" t="str">
        <x:v>Domain</x:v>
      </x:c>
      <x:c r="C1" s="32" t="str">
        <x:v>Confirmed Rule</x:v>
      </x:c>
    </x:row>
    <x:row r="2">
      <x:c r="A2" s="31" t="str">
        <x:v>SH-01</x:v>
      </x:c>
      <x:c r="B2" s="31" t="str">
        <x:v>Shared</x:v>
      </x:c>
      <x:c r="C2" s="31" t="str">
        <x:v>Every User has exactly one PlatformRole and AccountStatus.</x:v>
      </x:c>
    </x:row>
    <x:row r="3">
      <x:c r="A3" s="31" t="str">
        <x:v>SH-02</x:v>
      </x:c>
      <x:c r="B3" s="31" t="str">
        <x:v>Shared</x:v>
      </x:c>
      <x:c r="C3" s="31" t="str">
        <x:v>Only ACTIVE accounts may perform protected actions.</x:v>
      </x:c>
    </x:row>
    <x:row r="4">
      <x:c r="A4" s="31" t="str">
        <x:v>SH-03</x:v>
      </x:c>
      <x:c r="B4" s="31" t="str">
        <x:v>Shared</x:v>
      </x:c>
      <x:c r="C4" s="31" t="str">
        <x:v>ActiveContext is session-scoped and never creates authority.</x:v>
      </x:c>
    </x:row>
    <x:row r="5">
      <x:c r="A5" s="31" t="str">
        <x:v>AU-01</x:v>
      </x:c>
      <x:c r="B5" s="31" t="str">
        <x:v>Authentication</x:v>
      </x:c>
      <x:c r="C5" s="31" t="str">
        <x:v>Registration creates PENDING_VERIFICATION; successful verification changes it to ACTIVE.</x:v>
      </x:c>
    </x:row>
    <x:row r="6">
      <x:c r="A6" s="31" t="str">
        <x:v>AU-02</x:v>
      </x:c>
      <x:c r="B6" s="31" t="str">
        <x:v>Authentication</x:v>
      </x:c>
      <x:c r="C6" s="31" t="str">
        <x:v>Suspension atomically revokes every current AuthenticatedSession; reactivation restores none.</x:v>
      </x:c>
    </x:row>
    <x:row r="7">
      <x:c r="A7" s="31" t="str">
        <x:v>CL-01</x:v>
      </x:c>
      <x:c r="B7" s="31" t="str">
        <x:v>Clubs</x:v>
      </x:c>
      <x:c r="C7" s="31" t="str">
        <x:v>Club creation and first-administrator assignment are one atomic operation.</x:v>
      </x:c>
    </x:row>
    <x:row r="8">
      <x:c r="A8" s="31" t="str">
        <x:v>CL-02</x:v>
      </x:c>
      <x:c r="B8" s="31" t="str">
        <x:v>Clubs</x:v>
      </x:c>
      <x:c r="C8" s="31" t="str">
        <x:v>Each non-removed Club has exactly one current CLUB_ADMINISTRATOR assignment.</x:v>
      </x:c>
    </x:row>
    <x:row r="9">
      <x:c r="A9" s="31" t="str">
        <x:v>CL-03</x:v>
      </x:c>
      <x:c r="B9" s="31" t="str">
        <x:v>Clubs</x:v>
      </x:c>
      <x:c r="C9" s="31" t="str">
        <x:v>A User administers at most one Club but may represent multiple Clubs.</x:v>
      </x:c>
    </x:row>
    <x:row r="10">
      <x:c r="A10" s="31" t="str">
        <x:v>CL-04</x:v>
      </x:c>
      <x:c r="B10" s="31" t="str">
        <x:v>Clubs</x:v>
      </x:c>
      <x:c r="C10" s="31" t="str">
        <x:v>Only ACTIVE STUDENT users may receive or exercise ClubRoleAssignments.</x:v>
      </x:c>
    </x:row>
    <x:row r="11">
      <x:c r="A11" s="31" t="str">
        <x:v>CL-05</x:v>
      </x:c>
      <x:c r="B11" s="31" t="str">
        <x:v>Clubs</x:v>
      </x:c>
      <x:c r="C11" s="31" t="str">
        <x:v>A User cannot hold both current Club roles for the same Club.</x:v>
      </x:c>
    </x:row>
    <x:row r="12">
      <x:c r="A12" s="31" t="str">
        <x:v>CL-06</x:v>
      </x:c>
      <x:c r="B12" s="31" t="str">
        <x:v>Clubs</x:v>
      </x:c>
      <x:c r="C12" s="31" t="str">
        <x:v>Club.category is required because Club discovery and announcement filters depend on it.</x:v>
      </x:c>
    </x:row>
    <x:row r="13">
      <x:c r="A13" s="31" t="str">
        <x:v>AN-01</x:v>
      </x:c>
      <x:c r="B13" s="31" t="str">
        <x:v>Announcements</x:v>
      </x:c>
      <x:c r="C13" s="31" t="str">
        <x:v>CLUB_ADMINISTRATOR and REPRESENTATIVE assignments may publish directly for their assigned Club.</x:v>
      </x:c>
    </x:row>
    <x:row r="14">
      <x:c r="A14" s="31" t="str">
        <x:v>AN-02</x:v>
      </x:c>
      <x:c r="B14" s="31" t="str">
        <x:v>Announcements</x:v>
      </x:c>
      <x:c r="C14" s="31" t="str">
        <x:v>A representative manages only their own announcements; an administrator manages announcements only for their administered Club.</x:v>
      </x:c>
    </x:row>
    <x:row r="15">
      <x:c r="A15" s="31" t="str">
        <x:v>AN-03</x:v>
      </x:c>
      <x:c r="B15" s="31" t="str">
        <x:v>Announcements</x:v>
      </x:c>
      <x:c r="C15" s="31" t="str">
        <x:v>AnnouncementPriority is NORMAL, IMPORTANT, or URGENT.</x:v>
      </x:c>
    </x:row>
    <x:row r="16">
      <x:c r="A16" s="31" t="str">
        <x:v>AN-04</x:v>
      </x:c>
      <x:c r="B16" s="31" t="str">
        <x:v>Announcements</x:v>
      </x:c>
      <x:c r="C16" s="31" t="str">
        <x:v>PUBLISHING_SUSPENDED blocks new publication but leaves the Club and already-published announcements visible.</x:v>
      </x:c>
    </x:row>
    <x:row r="17">
      <x:c r="A17" s="31" t="str">
        <x:v>AN-05</x:v>
      </x:c>
      <x:c r="B17" s="31" t="str">
        <x:v>Announcements</x:v>
      </x:c>
      <x:c r="C17" s="31" t="str">
        <x:v>Published announcements are visible to every user; visibility is not a recipient association.</x:v>
      </x:c>
    </x:row>
    <x:row r="18">
      <x:c r="A18" s="31" t="str">
        <x:v>CN-01</x:v>
      </x:c>
      <x:c r="B18" s="31" t="str">
        <x:v>Connections</x:v>
      </x:c>
      <x:c r="C18" s="31" t="str">
        <x:v>At most one PENDING or ACCEPTED Connection exists for an unordered user pair.</x:v>
      </x:c>
    </x:row>
    <x:row r="19">
      <x:c r="A19" s="31" t="str">
        <x:v>CN-02</x:v>
      </x:c>
      <x:c r="B19" s="31" t="str">
        <x:v>Connections</x:v>
      </x:c>
      <x:c r="C19" s="31" t="str">
        <x:v>A connection request may contain an optional introductory message.</x:v>
      </x:c>
    </x:row>
    <x:row r="20">
      <x:c r="A20" s="31" t="str">
        <x:v>CH-01</x:v>
      </x:c>
      <x:c r="B20" s="31" t="str">
        <x:v>Chat</x:v>
      </x:c>
      <x:c r="C20" s="31" t="str">
        <x:v>Only an ACCEPTED Connection authorizes a new ordinary message.</x:v>
      </x:c>
    </x:row>
    <x:row r="21">
      <x:c r="A21" s="31" t="str">
        <x:v>CH-02</x:v>
      </x:c>
      <x:c r="B21" s="31" t="str">
        <x:v>Chat</x:v>
      </x:c>
      <x:c r="C21" s="31" t="str">
        <x:v>Acceptance does not create a Conversation; the first valid ordinary message creates it atomically.</x:v>
      </x:c>
    </x:row>
    <x:row r="22">
      <x:c r="A22" s="31" t="str">
        <x:v>CH-03</x:v>
      </x:c>
      <x:c r="B22" s="31" t="str">
        <x:v>Chat</x:v>
      </x:c>
      <x:c r="C22" s="31" t="str">
        <x:v>Each unordered pair has at most one direct Conversation with exactly two participants.</x:v>
      </x:c>
    </x:row>
    <x:row r="23">
      <x:c r="A23" s="31" t="str">
        <x:v>CH-04</x:v>
      </x:c>
      <x:c r="B23" s="31" t="str">
        <x:v>Chat</x:v>
      </x:c>
      <x:c r="C23" s="31" t="str">
        <x:v>Connection removal blocks new messages while preserving Conversation and Message history.</x:v>
      </x:c>
    </x:row>
    <x:row r="24">
      <x:c r="A24" s="31" t="str">
        <x:v>CH-05</x:v>
      </x:c>
      <x:c r="B24" s="31" t="str">
        <x:v>Chat</x:v>
      </x:c>
      <x:c r="C24" s="31" t="str">
        <x:v>Either participant may delete a Message for self; only the sender may delete it for everyone, with no current time limit.</x:v>
      </x:c>
    </x:row>
    <x:row r="25">
      <x:c r="A25" s="31" t="str">
        <x:v>PR-01</x:v>
      </x:c>
      <x:c r="B25" s="31" t="str">
        <x:v>Projects</x:v>
      </x:c>
      <x:c r="C25" s="31" t="str">
        <x:v>Only ACTIVE, non-anonymized STUDENT accounts use Project recruitment. teamSizeLimit includes the creator and is at least 2; membership count, vacancies, fullness, expiry, and availability are derived, never stored as FULL.</x:v>
      </x:c>
    </x:row>
    <x:row r="26">
      <x:c r="A26" s="31" t="str">
        <x:v>PR-02</x:v>
      </x:c>
      <x:c r="B26" s="31" t="str">
        <x:v>Projects</x:v>
      </x:c>
      <x:c r="C26" s="31" t="str">
        <x:v>Project creation atomically adds the sole CREATOR membership. One lifetime application exists per student/project. Acceptance atomically rechecks eligibility and capacity, creates one TEAMMATE membership, audits, and notifies without duplicate effects on identical retries.</x:v>
      </x:c>
    </x:row>
    <x:row r="27">
      <x:c r="A27" s="31" t="str">
        <x:v>PR-03</x:v>
      </x:c>
      <x:c r="B27" s="31" t="str">
        <x:v>Projects</x:v>
      </x:c>
      <x:c r="C27" s="31" t="str">
        <x:v>applicationDeadline is mandatory and valid through that day in Asia/Dhaka. Default browse excludes expired OPEN projects but includes full OPEN projects; stored status and derived availability are independent AND-combined filters. Closed and expired projects retain direct details.</x:v>
      </x:c>
    </x:row>
    <x:row r="28">
      <x:c r="A28" s="31" t="str">
        <x:v>PR-04</x:v>
      </x:c>
      <x:c r="B28" s="31" t="str">
        <x:v>Projects</x:v>
      </x:c>
      <x:c r="C28" s="31" t="str">
        <x:v>Creator-only soft deletion is terminal, preserves history, cancels pending applications, and notifies each affected applicant once. The Project-owned anonymization hook redacts attribution and performs the same deletion behavior; ordinary deleted-project endpoints return 404.</x:v>
      </x:c>
    </x:row>
    <x:row r="29">
      <x:c r="A29" s="31" t="str">
        <x:v>ME-01</x:v>
      </x:c>
      <x:c r="B29" s="31" t="str">
        <x:v>Mentorship</x:v>
      </x:c>
      <x:c r="C29" s="31" t="str">
        <x:v>ACTIVE Year-2-or-above Students and ACTIVE Alumni may register as mentors.</x:v>
      </x:c>
    </x:row>
    <x:row r="30">
      <x:c r="A30" s="31" t="str">
        <x:v>ME-02</x:v>
      </x:c>
      <x:c r="B30" s="31" t="str">
        <x:v>Mentorship</x:v>
      </x:c>
      <x:c r="C30" s="31" t="str">
        <x:v>MentorshipSlot supports ONE_TIME, WEEKLY, and BIWEEKLY series with dated MentorshipOccurrences.</x:v>
      </x:c>
    </x:row>
    <x:row r="31">
      <x:c r="A31" s="31" t="str">
        <x:v>ME-03</x:v>
      </x:c>
      <x:c r="B31" s="31" t="str">
        <x:v>Mentorship</x:v>
      </x:c>
      <x:c r="C31" s="31" t="str">
        <x:v>One MentorshipEnrollment enrolls an ACTIVE STUDENT in the complete series.</x:v>
      </x:c>
    </x:row>
    <x:row r="32">
      <x:c r="A32" s="31" t="str">
        <x:v>ME-04</x:v>
      </x:c>
      <x:c r="B32" s="31" t="str">
        <x:v>Mentorship</x:v>
      </x:c>
      <x:c r="C32" s="31" t="str">
        <x:v>Enrollment count, available places, FULL, and past state are derived; historical records are retained.</x:v>
      </x:c>
    </x:row>
    <x:row r="33">
      <x:c r="A33" s="31" t="str">
        <x:v>CA-01</x:v>
      </x:c>
      <x:c r="B33" s="31" t="str">
        <x:v>Career</x:v>
      </x:c>
      <x:c r="C33" s="31" t="str">
        <x:v>Only ACTIVE ALUMNI users publish JobPosts; no separate alumni-verification state exists.</x:v>
      </x:c>
    </x:row>
    <x:row r="34">
      <x:c r="A34" s="31" t="str">
        <x:v>CA-02</x:v>
      </x:c>
      <x:c r="B34" s="31" t="str">
        <x:v>Career</x:v>
      </x:c>
      <x:c r="C34" s="31" t="str">
        <x:v>Authors may edit and close PUBLISHED posts but may not delete or reopen them.</x:v>
      </x:c>
    </x:row>
    <x:row r="35">
      <x:c r="A35" s="31" t="str">
        <x:v>CA-03</x:v>
      </x:c>
      <x:c r="B35" s="31" t="str">
        <x:v>Career</x:v>
      </x:c>
      <x:c r="C35" s="31" t="str">
        <x:v>Expiry is derived from applicationDeadline and removes a post from active browsing without deleting it.</x:v>
      </x:c>
    </x:row>
    <x:row r="36">
      <x:c r="A36" s="31" t="str">
        <x:v>CA-04</x:v>
      </x:c>
      <x:c r="B36" s="31" t="str">
        <x:v>Career</x:v>
      </x:c>
      <x:c r="C36" s="31" t="str">
        <x:v>SavedJob bookmarks remain after closure or expiry; removed post content stays inaccessible.</x:v>
      </x:c>
    </x:row>
    <x:row r="37">
      <x:c r="A37" s="31" t="str">
        <x:v>AD-01</x:v>
      </x:c>
      <x:c r="B37" s="31" t="str">
        <x:v>Administration</x:v>
      </x:c>
      <x:c r="C37" s="31" t="str">
        <x:v>Only an ACTIVE SYSTEM_ADMIN performs administration or moderation actions.</x:v>
      </x:c>
    </x:row>
    <x:row r="38">
      <x:c r="A38" s="31" t="str">
        <x:v>AD-02</x:v>
      </x:c>
      <x:c r="B38" s="31" t="str">
        <x:v>Administration</x:v>
      </x:c>
      <x:c r="C38" s="31" t="str">
        <x:v>Moderation uses one typed target and every administrative state change creates immutable audit history.</x:v>
      </x:c>
    </x:row>
    <x:row r="39">
      <x:c r="A39" s="31" t="str">
        <x:v>NO-01</x:v>
      </x:c>
      <x:c r="B39" s="31" t="str">
        <x:v>Notifications</x:v>
      </x:c>
      <x:c r="C39" s="31" t="str">
        <x:v>Each Notification has one recipient; recipient plus eventKey is unique.</x:v>
      </x:c>
    </x:row>
    <x:row r="40">
      <x:c r="A40" s="31" t="str">
        <x:v>NO-02</x:v>
      </x:c>
      <x:c r="B40" s="31" t="str">
        <x:v>Notifications</x:v>
      </x:c>
      <x:c r="C40" s="31" t="str">
        <x:v>Notifications are informational and never grant, restore, or bypass authority.</x:v>
      </x:c>
    </x:row>
    <x:row r="41" ht="15" hidden="0" customHeight="1">
      <x:c r="A41" s="30" t="str">
        <x:v>AN-06</x:v>
      </x:c>
      <x:c r="B41" s="30" t="str">
        <x:v>Announcements</x:v>
      </x:c>
      <x:c r="C41" s="30" t="str">
        <x:v>An authorized Club operator may save an Announcement as UNPUBLISHED or publish it directly.</x:v>
      </x:c>
    </x:row>
    <x:row r="42" ht="15" hidden="0" customHeight="1">
      <x:c r="A42" s="30" t="str">
        <x:v>AN-07</x:v>
      </x:c>
      <x:c r="B42" s="30" t="str">
        <x:v>Announcements</x:v>
      </x:c>
      <x:c r="C42" s="30" t="str">
        <x:v>Only PUBLISHED, non-expired Announcements appear in the current public feed.</x:v>
      </x:c>
    </x:row>
    <x:row r="43" ht="24" hidden="0" customHeight="1">
      <x:c r="A43" s="30" t="str">
        <x:v>AN-08</x:v>
      </x:c>
      <x:c r="B43" s="30" t="str">
        <x:v>Announcements</x:v>
      </x:c>
      <x:c r="C43" s="30" t="str">
        <x:v>Unpublishing changes PUBLISHED to UNPUBLISHED and preserves identity, authorship, publication time, and audit history.</x:v>
      </x:c>
    </x:row>
    <x:row r="44" ht="24" hidden="0" customHeight="1">
      <x:c r="A44" s="30" t="str">
        <x:v>AN-09</x:v>
      </x:c>
      <x:c r="B44" s="30" t="str">
        <x:v>Announcements</x:v>
      </x:c>
      <x:c r="C44" s="30" t="str">
        <x:v>When optional expiresAt passes, a PUBLISHED Announcement becomes EXPIRED and leaves current public lists without being deleted.</x:v>
      </x:c>
    </x:row>
    <x:row r="45" ht="15" hidden="0" customHeight="1">
      <x:c r="A45" s="30" t="str">
        <x:v>EV-01</x:v>
      </x:c>
      <x:c r="B45" s="30" t="str">
        <x:v>Events</x:v>
      </x:c>
      <x:c r="C45" s="30" t="str">
        <x:v>Event is a separate Club-owned domain class rather than a subtype of Announcement.</x:v>
      </x:c>
    </x:row>
    <x:row r="46" ht="15" hidden="0" customHeight="1">
      <x:c r="A46" s="30" t="str">
        <x:v>EV-02</x:v>
      </x:c>
      <x:c r="B46" s="30" t="str">
        <x:v>Events</x:v>
      </x:c>
      <x:c r="C46" s="30" t="str">
        <x:v>Event timing labels are derived: UPCOMING before startAt, ACTIVE from startAt through endAt, and PAST afterward.</x:v>
      </x:c>
    </x:row>
    <x:row r="47" ht="15" hidden="0" customHeight="1">
      <x:c r="A47" s="30" t="str">
        <x:v>EV-03</x:v>
      </x:c>
      <x:c r="B47" s="30" t="str">
        <x:v>Events</x:v>
      </x:c>
      <x:c r="C47" s="30" t="str">
        <x:v>PAST Events are hidden from current lists but preserved in Club event history.</x:v>
      </x:c>
    </x:row>
    <x:row r="48" ht="24" hidden="0" customHeight="1">
      <x:c r="A48" s="30" t="str">
        <x:v>AD-03</x:v>
      </x:c>
      <x:c r="B48" s="30" t="str">
        <x:v>Administration</x:v>
      </x:c>
      <x:c r="C48" s="30" t="str">
        <x:v>Only an ACTIVE SYSTEM_ADMIN may restore a PUBLISHING_SUSPENDED Club. Restoration requires one eligible current Club administrator, which may be the reactivated original administrator; account reactivation alone never restores publishing.</x:v>
      </x:c>
    </x:row>
    <x:row r="49" ht="24" hidden="0" customHeight="1">
      <x:c r="A49" s="30" t="str">
        <x:v>AD-04</x:v>
      </x:c>
      <x:c r="B49" s="30" t="str">
        <x:v>Administration</x:v>
      </x:c>
      <x:c r="C49" s="30" t="str">
        <x:v>Account anonymization is terminal: sessions and credentials are invalidated, identifiers are removed, and required historical records remain with anonymized attribution.</x:v>
      </x:c>
    </x:row>
    <x:row r="50">
      <x:c r="A50" s="30" t="str">
        <x:v>RP-01</x:v>
      </x:c>
      <x:c r="B50" s="30" t="str">
        <x:v>Reporting</x:v>
      </x:c>
      <x:c r="C50" s="30" t="str">
        <x:v>Any authenticated ACTIVE, non-anonymized user may submit a report regardless of selected context, but the target must be accessible through its owning module.</x:v>
      </x:c>
    </x:row>
    <x:row r="51">
      <x:c r="A51" s="30" t="str">
        <x:v>RP-02</x:v>
      </x:c>
      <x:c r="B51" s="30" t="str">
        <x:v>Reporting</x:v>
      </x:c>
      <x:c r="C51" s="30" t="str">
        <x:v>Supported targets are USER, CLUB, ANNOUNCEMENT, EVENT, and CHAT_MESSAGE. Project and career-post targets remain deferred until their modules exist.</x:v>
      </x:c>
    </x:row>
    <x:row r="52">
      <x:c r="A52" s="30" t="str">
        <x:v>RP-03</x:v>
      </x:c>
      <x:c r="B52" s="30" t="str">
        <x:v>Reporting</x:v>
      </x:c>
      <x:c r="C52" s="30" t="str">
        <x:v>The lifecycle is SUBMITTED to UNDER_REVIEW to ACTION_TAKEN or NO_ACTION. The first reviewer owns resolution, and concurrent transitions cannot overwrite a decision.</x:v>
      </x:c>
    </x:row>
    <x:row r="53">
      <x:c r="A53" s="30" t="str">
        <x:v>RP-04</x:v>
      </x:c>
      <x:c r="B53" s="30" t="str">
        <x:v>Reporting</x:v>
      </x:c>
      <x:c r="C53" s="30" t="str">
        <x:v>One open report is allowed per reporter and target. Different reporters are independent, and a later report is allowed after the prior report closes.</x:v>
      </x:c>
    </x:row>
    <x:row r="54">
      <x:c r="A54" s="30" t="str">
        <x:v>RP-05</x:v>
      </x:c>
      <x:c r="B54" s="30" t="str">
        <x:v>Reporting</x:v>
      </x:c>
      <x:c r="C54" s="30" t="str">
        <x:v>ACTION_TAKEN links an already committed qualifying action verified through the owning module; resolving a report never executes moderation.</x:v>
      </x:c>
    </x:row>
    <x:row r="55">
      <x:c r="A55" s="30" t="str">
        <x:v>RP-06</x:v>
      </x:c>
      <x:c r="B55" s="30" t="str">
        <x:v>Reporting</x:v>
      </x:c>
      <x:c r="C55" s="30" t="str">
        <x:v>Reporter DTOs are owner-only and omit immutable snapshots, internal notes, action evidence, and audit history. Inaccessible and nonexistent targets both return 404.</x:v>
      </x:c>
    </x:row>
    <x:row r="56">
      <x:c r="A56" s="30" t="str">
        <x:v>RP-07</x:v>
      </x:c>
      <x:c r="B56" s="30" t="str">
        <x:v>Reporting</x:v>
      </x:c>
      <x:c r="C56" s="30" t="str">
        <x:v>Terminal resolution, transition audit, optional action link, and one REPORT_RESOLVED notification commit atomically; identical retries are no-ops.</x:v>
      </x:c>
    </x:row>
    <x:row r="57">
      <x:c r="A57" s="30" t="str">
        <x:v>RP-08</x:v>
      </x:c>
      <x:c r="B57" s="30" t="str">
        <x:v>Reporting</x:v>
      </x:c>
      <x:c r="C57" s="30" t="str">
        <x:v>Delete-for-everyone message text may be retained only as administrator evidence; delete-for-self messages remain inaccessible for new reports.</x:v>
      </x:c>
    </x:row>
    <x:row r="58">
      <x:c r="A58" s="30" t="str">
        <x:v>RP-09</x:v>
      </x:c>
      <x:c r="B58" s="30" t="str">
        <x:v>Reporting</x:v>
      </x:c>
      <x:c r="C58" s="30" t="str">
        <x:v>Warnings, administrative chat hiding, and new publication-removal permissions are outside the bounded reporting phase.</x:v>
      </x:c>
    </x:row>
  </x:sheetData>
  <x:pageMargins left="0.7" right="0.7" top="0.75" bottom="0.75" header="0.3" footer="0.3"/>
  <x:tableParts count="1">
    <x:tablePart xmlns:r="http://schemas.openxmlformats.org/officeDocument/2006/relationships" r:id="R2af02ad9cd444f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8" customHeight="1">
      <x:c r="A1" s="35" t="str">
        <x:v>UniConnect Requirements–Class Diagram Consistency Audit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5"/>
      <x:c r="B2" s="35"/>
      <x:c r="C2" s="35"/>
      <x:c r="D2" s="35"/>
      <x:c r="E2" s="35"/>
      <x:c r="F2" s="35"/>
      <x:c r="G2" s="35"/>
      <x:c r="H2" s="35"/>
    </x:row>
    <x:row r="4">
      <x:c r="A4" s="38" t="str">
        <x:v>Metric</x:v>
      </x:c>
      <x:c r="B4" s="38" t="str">
        <x:v>Value</x:v>
      </x:c>
      <x:c r="D4" s="46" t="str">
        <x:v>Audit outcome</x:v>
      </x:c>
      <x:c r="E4" s="46"/>
      <x:c r="F4" s="46"/>
      <x:c r="G4" s="46"/>
      <x:c r="H4" s="46"/>
    </x:row>
    <x:row r="5">
      <x:c r="A5" s="40" t="str">
        <x:v>Corrected functional requirements</x:v>
      </x:c>
      <x:c r="B5" s="43" t="n">
        <x:f>COUNTA('FR, User Stories'!$B$2:$B$94)-(COUNTIF('FR, User Stories'!$B$2:$B$94,"FR_9")-1)-(COUNTIF('FR, User Stories'!$B$2:$B$94,"FR_29")-1)-(COUNTIF('FR, User Stories'!$B$2:$B$94,"FR_72")-1)</x:f>
        <x:v>90</x:v>
      </x:c>
      <x:c r="D5" s="115" t="str">
        <x:v>The baseline includes the implemented Project Teammate Finder core lifecycle and FR_29 candidate search with privacy-safe all-required-skill matching. FR_30 recommendation scoring, project reporting, member administration, warnings, and other deferred workflows remain outside the verified milestone.</x:v>
      </x:c>
      <x:c r="E5" s="116"/>
      <x:c r="F5" s="116"/>
      <x:c r="G5" s="116"/>
      <x:c r="H5" s="117"/>
    </x:row>
    <x:row r="6">
      <x:c r="A6" s="40" t="str">
        <x:v>User-story rows</x:v>
      </x:c>
      <x:c r="B6" s="43" t="n">
        <x:f>COUNTA('FR, User Stories'!$D$2:$D$94)</x:f>
        <x:v>93</x:v>
      </x:c>
      <x:c r="D6" s="118"/>
      <x:c r="E6" s="119"/>
      <x:c r="F6" s="119"/>
      <x:c r="G6" s="119"/>
      <x:c r="H6" s="120"/>
    </x:row>
    <x:row r="7">
      <x:c r="A7" s="40" t="str">
        <x:v>Reworded or split existing rows</x:v>
      </x:c>
      <x:c r="B7" s="43" t="n">
        <x:f>COUNTIF('Consistency Audit'!$F$2:$F$94,"Reworded")+COUNTIF('Consistency Audit'!$F$2:$F$94,"Split")</x:f>
        <x:v>62</x:v>
      </x:c>
      <x:c r="D7" s="118"/>
      <x:c r="E7" s="119"/>
      <x:c r="F7" s="119"/>
      <x:c r="G7" s="119"/>
      <x:c r="H7" s="120"/>
    </x:row>
    <x:row r="8">
      <x:c r="A8" s="40" t="str">
        <x:v>New requirements</x:v>
      </x:c>
      <x:c r="B8" s="43" t="n">
        <x:f>COUNTIF('Consistency Audit'!$F$2:$F$94,"New")</x:f>
        <x:v>12</x:v>
      </x:c>
      <x:c r="D8" s="118"/>
      <x:c r="E8" s="119"/>
      <x:c r="F8" s="119"/>
      <x:c r="G8" s="119"/>
      <x:c r="H8" s="120"/>
    </x:row>
    <x:row r="9">
      <x:c r="A9" s="40" t="str">
        <x:v>Active-scope open gaps</x:v>
      </x:c>
      <x:c r="B9" s="43" t="n">
        <x:f>COUNTIF('Consistency Audit'!$F$2:$F$94,"Open Gap")</x:f>
        <x:v>0</x:v>
      </x:c>
      <x:c r="D9" s="121"/>
      <x:c r="E9" s="122"/>
      <x:c r="F9" s="122"/>
      <x:c r="G9" s="122"/>
      <x:c r="H9" s="123"/>
    </x:row>
    <x:row r="10">
      <x:c r="A10" t="str">
        <x:v>Deferred design items</x:v>
      </x:c>
      <x:c r="B10" t="n">
        <x:f>COUNTIF('Consistency Audit'!$F$2:$F$94,"Deferred")</x:f>
        <x:v>1</x:v>
      </x:c>
    </x:row>
    <x:row r="11">
      <x:c r="A11" s="125" t="str">
        <x:v>Approved reporting decision</x:v>
      </x:c>
      <x:c r="B11" s="125"/>
      <x:c r="C11" s="125"/>
      <x:c r="D11" s="125"/>
      <x:c r="E11" s="125"/>
      <x:c r="F11" s="125"/>
      <x:c r="G11" s="125"/>
      <x:c r="H11" s="125"/>
    </x:row>
    <x:row r="12" ht="52" customHeight="1">
      <x:c r="A12" s="128" t="str">
        <x:v>FR_67–FR_68 — Content reporting</x:v>
      </x:c>
      <x:c r="B12" s="130" t="str">
        <x:v>Approved bounded backend reporting for USER, CLUB, ANNOUNCEMENT, EVENT, and CHAT_MESSAGE with retained evidence, reviewer ownership, verified action links, reporter resolution notification, atomic history, and no action execution during resolution.</x:v>
      </x:c>
      <x:c r="C12" s="130"/>
      <x:c r="D12" s="130"/>
      <x:c r="E12" s="130"/>
      <x:c r="F12" s="130"/>
      <x:c r="G12" s="130"/>
      <x:c r="H12" s="130"/>
    </x:row>
    <x:row r="13" ht="52" customHeight="1">
      <x:c r="A13" s="128" t="str">
        <x:v>FR_69 — Warning system</x:v>
      </x:c>
      <x:c r="B13" s="130" t="str">
        <x:v>issueWarning() and warning-related action, notification, and audit types remain deferred until warning policy and model are approved.</x:v>
      </x:c>
      <x:c r="C13" s="130"/>
      <x:c r="D13" s="130"/>
      <x:c r="E13" s="130"/>
      <x:c r="F13" s="130"/>
      <x:c r="G13" s="130"/>
      <x:c r="H13" s="130"/>
    </x:row>
    <x:row r="14" ht="52" customHeight="1">
      <x:c r="A14" s="128" t="str">
        <x:v>Scope principle</x:v>
      </x:c>
      <x:c r="B14" s="130" t="str">
        <x:v>DEFERRED means outside the current implementation commitment, not removed from UniConnect's future product scope.</x:v>
      </x:c>
      <x:c r="C14" s="130"/>
      <x:c r="D14" s="130"/>
      <x:c r="E14" s="130"/>
      <x:c r="F14" s="130"/>
      <x:c r="G14" s="130"/>
      <x:c r="H14" s="130"/>
    </x:row>
    <x:row r="16">
      <x:c r="A16" s="46" t="str">
        <x:v>Files aligned by this audit</x:v>
      </x:c>
      <x:c r="B16" s="46"/>
      <x:c r="C16" s="46"/>
      <x:c r="D16" s="46"/>
      <x:c r="E16" s="46"/>
      <x:c r="F16" s="46"/>
      <x:c r="G16" s="46"/>
      <x:c r="H16" s="46"/>
    </x:row>
    <x:row r="17">
      <x:c r="A17" s="131" t="str">
        <x:v>Requirements workbook: FR_1–FR_90 with 93 user-story rows</x:v>
      </x:c>
      <x:c r="B17" s="131"/>
      <x:c r="C17" s="131"/>
      <x:c r="D17" s="131"/>
      <x:c r="E17" s="131"/>
      <x:c r="F17" s="131"/>
      <x:c r="G17" s="131"/>
      <x:c r="H17" s="131"/>
    </x:row>
    <x:row r="18">
      <x:c r="A18" s="131" t="str">
        <x:v>Announcement and Event lifecycle requirements aligned with the corrected Club diagram</x:v>
      </x:c>
      <x:c r="B18" s="131"/>
      <x:c r="C18" s="131"/>
      <x:c r="D18" s="131"/>
      <x:c r="E18" s="131"/>
      <x:c r="F18" s="131"/>
      <x:c r="G18" s="131"/>
      <x:c r="H18" s="131"/>
    </x:row>
    <x:row r="19">
      <x:c r="A19" s="131" t="str">
        <x:v>Reporting design approved for the bounded backend phase; warnings remain explicitly deferred</x:v>
      </x:c>
      <x:c r="B19" s="131"/>
      <x:c r="C19" s="131"/>
      <x:c r="D19" s="131"/>
      <x:c r="E19" s="131"/>
      <x:c r="F19" s="131"/>
      <x:c r="G19" s="131"/>
      <x:c r="H19" s="131"/>
    </x:row>
    <x:row r="20">
      <x:c r="A20" s="131" t="str">
        <x:v>Implementation Scope sheet added: One-to-One Chat = MUST; Project Teammate Finder = SHOULD</x:v>
      </x:c>
      <x:c r="B20" s="131"/>
      <x:c r="C20" s="131"/>
      <x:c r="D20" s="131"/>
      <x:c r="E20" s="131"/>
      <x:c r="F20" s="131"/>
      <x:c r="G20" s="131"/>
      <x:c r="H20" s="131"/>
    </x:row>
  </x:sheetData>
  <x:mergeCells>
    <x:mergeCell ref="A1:H2"/>
    <x:mergeCell ref="D4:H4"/>
    <x:mergeCell ref="D5:H9"/>
    <x:mergeCell ref="A16:H16"/>
    <x:mergeCell ref="A11:H11"/>
    <x:mergeCell ref="B12:H12"/>
    <x:mergeCell ref="B13:H13"/>
    <x:mergeCell ref="B14:H14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28" hidden="0" customWidth="1"/>
    <x:col min="4" max="4" width="54" hidden="0" customWidth="1"/>
    <x:col min="5" max="5" width="54" hidden="0" customWidth="1"/>
  </x:cols>
  <x:sheetData>
    <x:row r="1" ht="34" customHeight="1">
      <x:c r="A1" s="109" t="str">
        <x:v>UniConnect One-Month Rebuild Scope</x:v>
      </x:c>
      <x:c r="B1" s="109"/>
      <x:c r="C1" s="109"/>
      <x:c r="D1" s="109"/>
      <x:c r="E1" s="109"/>
    </x:row>
    <x:row r="2" ht="38" customHeight="1">
      <x:c r="A2" s="114" t="str">
        <x:v>Scope tags guide the one-month clean rebuild only. DEFERRED requirements remain part of the long-term product baseline and require later design approval.</x:v>
      </x:c>
      <x:c r="B2" s="114"/>
      <x:c r="C2" s="114"/>
      <x:c r="D2" s="114"/>
      <x:c r="E2" s="114"/>
    </x:row>
    <x:row r="4">
      <x:c r="A4" s="30" t="str">
        <x:v>Module / Workstream</x:v>
      </x:c>
      <x:c r="B4" s="30" t="str">
        <x:v>Rebuild Scope</x:v>
      </x:c>
      <x:c r="C4" s="30" t="str">
        <x:v>Functional Requirements</x:v>
      </x:c>
      <x:c r="D4" s="30" t="str">
        <x:v>One-Month Outcome</x:v>
      </x:c>
      <x:c r="E4" s="30" t="str">
        <x:v>Decision Notes</x:v>
      </x:c>
    </x:row>
    <x:row r="5" ht="48" customHeight="1">
      <x:c r="A5" s="30" t="str">
        <x:v>Shared Foundation, Authentication &amp; Profile</x:v>
      </x:c>
      <x:c r="B5" s="30" t="str">
        <x:v>MUST</x:v>
      </x:c>
      <x:c r="C5" s="30" t="str">
        <x:v>FR_1–FR_9, FR_73–FR_76</x:v>
      </x:c>
      <x:c r="D5" s="30" t="str">
        <x:v>Registration, verification, login, sessions, roles, account status, profile viewing/editing</x:v>
      </x:c>
      <x:c r="E5" s="30" t="str">
        <x:v>Complete before parallel feature development.</x:v>
      </x:c>
    </x:row>
    <x:row r="6" ht="48" customHeight="1">
      <x:c r="A6" s="30" t="str">
        <x:v>Club Identity &amp; Active Context</x:v>
      </x:c>
      <x:c r="B6" s="30" t="str">
        <x:v>MUST</x:v>
      </x:c>
      <x:c r="C6" s="30" t="str">
        <x:v>FR_10–FR_19</x:v>
      </x:c>
      <x:c r="D6" s="30" t="str">
        <x:v>Club creation, first administrator, representatives, role/context switching</x:v>
      </x:c>
      <x:c r="E6" s="30" t="str">
        <x:v>Shared Club authority rules are foundational.</x:v>
      </x:c>
    </x:row>
    <x:row r="7" ht="48" customHeight="1">
      <x:c r="A7" s="30" t="str">
        <x:v>Announcements &amp; Events</x:v>
      </x:c>
      <x:c r="B7" s="30" t="str">
        <x:v>MUST</x:v>
      </x:c>
      <x:c r="C7" s="30" t="str">
        <x:v>FR_20–FR_24, FR_84–FR_90</x:v>
      </x:c>
      <x:c r="D7" s="30" t="str">
        <x:v>Draft/publish/edit/unpublish/expiry announcements and upcoming/active/past Events</x:v>
      </x:c>
      <x:c r="E7" s="30" t="str">
        <x:v>Complete vertical backend and Flutter flows.</x:v>
      </x:c>
    </x:row>
    <x:row r="8" ht="48" customHeight="1">
      <x:c r="A8" s="30" t="str">
        <x:v>Connections &amp; User Discovery</x:v>
      </x:c>
      <x:c r="B8" s="30" t="str">
        <x:v>MUST</x:v>
      </x:c>
      <x:c r="C8" s="30" t="str">
        <x:v>FR_9, FR_25–FR_28, FR_76</x:v>
      </x:c>
      <x:c r="D8" s="30" t="str">
        <x:v>Find users, request with introduction, accept/reject, list and remove connections</x:v>
      </x:c>
      <x:c r="E8" s="30" t="str">
        <x:v>Accepted connections authorize ordinary chat messages.</x:v>
      </x:c>
    </x:row>
    <x:row r="9" ht="48" customHeight="1">
      <x:c r="A9" s="30" t="str">
        <x:v>One-to-One Chat</x:v>
      </x:c>
      <x:c r="B9" s="30" t="str">
        <x:v>MUST</x:v>
      </x:c>
      <x:c r="C9" s="30" t="str">
        <x:v>FR_51–FR_55, FR_79–FR_80</x:v>
      </x:c>
      <x:c r="D9" s="30" t="str">
        <x:v>Single direct conversation per pair, real-time messages, history and both deletion modes</x:v>
      </x:c>
      <x:c r="E9" s="30" t="str">
        <x:v>Must follow stable authentication and accepted connections.</x:v>
      </x:c>
    </x:row>
    <x:row r="10" ht="48" customHeight="1">
      <x:c r="A10" s="30" t="str">
        <x:v>Project Teammate Finder</x:v>
      </x:c>
      <x:c r="B10" s="30" t="str">
        <x:v>SHOULD</x:v>
      </x:c>
      <x:c r="C10" s="30" t="str">
        <x:v>FR_29–FR_39, FR_77</x:v>
      </x:c>
      <x:c r="D10" s="30" t="str">
        <x:v>Backend complete: candidate search, create/browse/detail/edit/apply/review/close/reopen/delete, memberships, audits, notifications</x:v>
      </x:c>
      <x:c r="E10" s="30" t="str">
        <x:v>FR_30 recommendation scoring, project reporting, member leave/removal, ownership transfer, attachments, Flutter, and automatic chat creation remain deferred.</x:v>
      </x:c>
    </x:row>
    <x:row r="11" ht="48" customHeight="1">
      <x:c r="A11" s="30" t="str">
        <x:v>Career Board</x:v>
      </x:c>
      <x:c r="B11" s="30" t="str">
        <x:v>SHOULD</x:v>
      </x:c>
      <x:c r="C11" s="30" t="str">
        <x:v>FR_56–FR_61, FR_81–FR_82</x:v>
      </x:c>
      <x:c r="D11" s="30" t="str">
        <x:v>Publish, browse, save, edit and close career posts</x:v>
      </x:c>
      <x:c r="E11" s="30" t="str">
        <x:v>Implement after MUST modules are integrated.</x:v>
      </x:c>
    </x:row>
    <x:row r="12" ht="48" customHeight="1">
      <x:c r="A12" s="30" t="str">
        <x:v>Notifications</x:v>
      </x:c>
      <x:c r="B12" s="30" t="str">
        <x:v>SHOULD</x:v>
      </x:c>
      <x:c r="C12" s="30" t="str">
        <x:v>FR_72, FR_78</x:v>
      </x:c>
      <x:c r="D12" s="30" t="str">
        <x:v>Informational notifications and authorized deep links</x:v>
      </x:c>
      <x:c r="E12" s="30" t="str">
        <x:v>Start with events needed by completed modules.</x:v>
      </x:c>
    </x:row>
    <x:row r="13" ht="48" customHeight="1">
      <x:c r="A13" s="30" t="str">
        <x:v>Basic Administration</x:v>
      </x:c>
      <x:c r="B13" s="30" t="str">
        <x:v>SHOULD</x:v>
      </x:c>
      <x:c r="C13" s="30" t="str">
        <x:v>FR_63–FR_66, FR_68, FR_70–FR_71, FR_83</x:v>
      </x:c>
      <x:c r="D13" s="30" t="str">
        <x:v>Account/Club moderation, anonymization and publishing restoration</x:v>
      </x:c>
      <x:c r="E13" s="30" t="str">
        <x:v>Existing account, Club, and publication actions remain authoritative; report resolution may verify their audits but never executes them.</x:v>
      </x:c>
    </x:row>
    <x:row r="14" ht="48" customHeight="1">
      <x:c r="A14" s="30" t="str">
        <x:v>Cross-Module Search</x:v>
      </x:c>
      <x:c r="B14" s="30" t="str">
        <x:v>SHOULD</x:v>
      </x:c>
      <x:c r="C14" s="30" t="str">
        <x:v>FR_62</x:v>
      </x:c>
      <x:c r="D14" s="30" t="str">
        <x:v>Search across implemented accessible content</x:v>
      </x:c>
      <x:c r="E14" s="30" t="str">
        <x:v>Limit search to modules completed during the rebuild.</x:v>
      </x:c>
    </x:row>
    <x:row r="15" ht="48" customHeight="1">
      <x:c r="A15" s="30" t="str">
        <x:v>Peer Mentorship</x:v>
      </x:c>
      <x:c r="B15" s="30" t="str">
        <x:v>DEFERRED</x:v>
      </x:c>
      <x:c r="C15" s="30" t="str">
        <x:v>FR_40–FR_50</x:v>
      </x:c>
      <x:c r="D15" s="30" t="str">
        <x:v>No one-month commitment</x:v>
      </x:c>
      <x:c r="E15" s="30" t="str">
        <x:v>Retained in the product baseline for later implementation.</x:v>
      </x:c>
    </x:row>
    <x:row r="16" ht="36" hidden="0" customHeight="1">
      <x:c r="A16" s="30" t="str">
        <x:v>Content Reporting</x:v>
      </x:c>
      <x:c r="B16" s="30" t="str">
        <x:v>SHOULD</x:v>
      </x:c>
      <x:c r="C16" s="30" t="str">
        <x:v>FR_67–FR_68</x:v>
      </x:c>
      <x:c r="D16" s="30" t="str">
        <x:v>Backend submission, retained evidence, administration review, verified action linking, audit, and resolution notification</x:v>
      </x:c>
      <x:c r="E16" s="30" t="str">
        <x:v>Targets are USER, CLUB, ANNOUNCEMENT, EVENT, and CHAT_MESSAGE. Flutter screens and unavailable project/career targets remain separate.</x:v>
      </x:c>
    </x:row>
    <x:row r="17" ht="24" hidden="0" customHeight="1">
      <x:c r="A17" s="30" t="str">
        <x:v>Warning System</x:v>
      </x:c>
      <x:c r="B17" s="30" t="str">
        <x:v>DEFERRED</x:v>
      </x:c>
      <x:c r="C17" s="30" t="str">
        <x:v>FR_69</x:v>
      </x:c>
      <x:c r="D17" s="30" t="str">
        <x:v>No implementation until warning policy and model are approved</x:v>
      </x:c>
      <x:c r="E17" s="30" t="str">
        <x:v>Warning action, notification, audit, and member-history rules remain deferred.</x:v>
      </x:c>
    </x:row>
  </x:sheetData>
  <x:mergeCells>
    <x:mergeCell ref="A1:E1"/>
    <x:mergeCell ref="A2:E2"/>
  </x:mergeCells>
  <x:conditionalFormatting sqref="B5:B16">
    <x:cfRule type="containsText" dxfId="8" priority="1" operator="containsText" text="MUST"/>
    <x:cfRule type="containsText" dxfId="9" priority="2" operator="containsText" text="SHOULD"/>
    <x:cfRule type="containsText" dxfId="10" priority="3" operator="containsText" text="DEFERRED"/>
  </x:conditionalFormatting>
  <x:dataValidations count="1">
    <x:dataValidation type="list" sqref="B5:B16">
      <x:formula1>"MUST,SHOULD,DEFERRED"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cd099de9094bab"/>
  </x:tableParts>
</x:worksheet>
</file>